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immobilier\Bahrain\"/>
    </mc:Choice>
  </mc:AlternateContent>
  <xr:revisionPtr revIDLastSave="0" documentId="13_ncr:41000001_{D890ADE8-A289-4541-B33D-7A99BDA9A222}" xr6:coauthVersionLast="47" xr6:coauthVersionMax="47" xr10:uidLastSave="{00000000-0000-0000-0000-000000000000}"/>
  <bookViews>
    <workbookView xWindow="15495" yWindow="0" windowWidth="37448" windowHeight="16320" activeTab="12" xr2:uid="{EBADC180-49FC-4FBF-8D16-D371C78BA9FD}"/>
  </bookViews>
  <sheets>
    <sheet name="Master" sheetId="1" r:id="rId1"/>
    <sheet name="1307A" sheetId="2" r:id="rId2"/>
    <sheet name="1407A" sheetId="3" r:id="rId3"/>
    <sheet name="1306B" sheetId="12" r:id="rId4"/>
    <sheet name="1509B" sheetId="4" r:id="rId5"/>
    <sheet name="2206B" sheetId="13" r:id="rId6"/>
    <sheet name="2306B" sheetId="5" r:id="rId7"/>
    <sheet name="2706B " sheetId="6" r:id="rId8"/>
    <sheet name="1206" sheetId="7" r:id="rId9"/>
    <sheet name="1306 old" sheetId="19" r:id="rId10"/>
    <sheet name="1306" sheetId="10" r:id="rId11"/>
    <sheet name="1405" sheetId="17" r:id="rId12"/>
    <sheet name="1706" sheetId="16" r:id="rId13"/>
    <sheet name="1805" sheetId="8" r:id="rId14"/>
    <sheet name="2105" sheetId="9" r:id="rId15"/>
    <sheet name="2106" sheetId="11" r:id="rId16"/>
    <sheet name="2305" sheetId="18" r:id="rId17"/>
    <sheet name="3504" sheetId="20" r:id="rId18"/>
  </sheets>
  <definedNames>
    <definedName name="_xlnm._FilterDatabase" localSheetId="0" hidden="1">Master!$B$1:$AB$15</definedName>
    <definedName name="_xlnm.Print_Area" localSheetId="15">'2106'!$A$1:$L$19</definedName>
    <definedName name="_xlnm.Print_Area" localSheetId="5">'2206B'!$A$1:$L$19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7" l="1"/>
  <c r="R6" i="18"/>
  <c r="R5" i="18"/>
  <c r="R4" i="18"/>
  <c r="R2" i="18"/>
  <c r="R1" i="18"/>
  <c r="O1" i="18"/>
  <c r="O2" i="18"/>
  <c r="R7" i="18"/>
  <c r="R6" i="11"/>
  <c r="H1" i="11"/>
  <c r="K31" i="11"/>
  <c r="K30" i="11"/>
  <c r="K29" i="11"/>
  <c r="K28" i="11"/>
  <c r="K27" i="11"/>
  <c r="K26" i="11"/>
  <c r="K25" i="11"/>
  <c r="K24" i="11"/>
  <c r="K23" i="11"/>
  <c r="K22" i="11"/>
  <c r="K20" i="11"/>
  <c r="K21" i="11"/>
  <c r="R2" i="11"/>
  <c r="R1" i="11"/>
  <c r="O2" i="11"/>
  <c r="O1" i="11"/>
  <c r="R4" i="11"/>
  <c r="R5" i="11"/>
  <c r="R6" i="9"/>
  <c r="J19" i="9"/>
  <c r="R5" i="9"/>
  <c r="R2" i="9"/>
  <c r="R1" i="9"/>
  <c r="O2" i="9"/>
  <c r="O1" i="9"/>
  <c r="R4" i="9"/>
  <c r="R4" i="8"/>
  <c r="O1" i="8"/>
  <c r="O2" i="8"/>
  <c r="R2" i="8"/>
  <c r="R1" i="8"/>
  <c r="R5" i="8"/>
  <c r="R6" i="8"/>
  <c r="R7" i="8"/>
  <c r="R10" i="7"/>
  <c r="R9" i="7"/>
  <c r="R8" i="7"/>
  <c r="R7" i="7"/>
  <c r="R6" i="7"/>
  <c r="R5" i="7"/>
  <c r="R4" i="7"/>
  <c r="R2" i="7"/>
  <c r="R1" i="7"/>
  <c r="O1" i="7"/>
  <c r="O2" i="7"/>
  <c r="H1" i="8"/>
  <c r="J24" i="8"/>
  <c r="K32" i="16"/>
  <c r="K31" i="16"/>
  <c r="K30" i="16"/>
  <c r="K29" i="16"/>
  <c r="K28" i="16"/>
  <c r="K27" i="16"/>
  <c r="K26" i="16"/>
  <c r="K25" i="16"/>
  <c r="K24" i="16"/>
  <c r="K23" i="16"/>
  <c r="K22" i="16"/>
  <c r="K21" i="16"/>
  <c r="K17" i="16"/>
  <c r="K15" i="16"/>
  <c r="K14" i="16"/>
  <c r="K12" i="16"/>
  <c r="K11" i="16"/>
  <c r="K9" i="16"/>
  <c r="K8" i="16"/>
  <c r="K7" i="16"/>
  <c r="K6" i="16"/>
  <c r="K10" i="16"/>
  <c r="B44" i="6"/>
  <c r="J34" i="6"/>
  <c r="J33" i="6"/>
  <c r="B50" i="5"/>
  <c r="C50" i="5"/>
  <c r="D50" i="5"/>
  <c r="E50" i="5"/>
  <c r="F50" i="5"/>
  <c r="G50" i="5"/>
  <c r="H50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B51" i="5"/>
  <c r="B53" i="5"/>
  <c r="B52" i="5"/>
  <c r="L49" i="5"/>
  <c r="J34" i="12"/>
  <c r="J33" i="12"/>
  <c r="J34" i="3"/>
  <c r="J33" i="3"/>
  <c r="J34" i="2"/>
  <c r="J33" i="2"/>
  <c r="J34" i="4"/>
  <c r="J33" i="4"/>
  <c r="B41" i="4"/>
  <c r="C41" i="4"/>
  <c r="D41" i="4"/>
  <c r="E41" i="4"/>
  <c r="F41" i="4"/>
  <c r="G41" i="4"/>
  <c r="H41" i="4"/>
  <c r="J29" i="4"/>
  <c r="J30" i="4"/>
  <c r="J31" i="4"/>
  <c r="J32" i="4"/>
  <c r="J35" i="4"/>
  <c r="J36" i="4"/>
  <c r="J37" i="4"/>
  <c r="J38" i="4"/>
  <c r="J39" i="4"/>
  <c r="J40" i="4"/>
  <c r="J41" i="4"/>
  <c r="B42" i="4"/>
  <c r="B44" i="4"/>
  <c r="B43" i="4"/>
  <c r="L40" i="4"/>
  <c r="B41" i="12"/>
  <c r="C41" i="12"/>
  <c r="D41" i="12"/>
  <c r="E41" i="12"/>
  <c r="F41" i="12"/>
  <c r="G41" i="12"/>
  <c r="H41" i="12"/>
  <c r="J29" i="12"/>
  <c r="J30" i="12"/>
  <c r="J31" i="12"/>
  <c r="J32" i="12"/>
  <c r="J35" i="12"/>
  <c r="J36" i="12"/>
  <c r="J37" i="12"/>
  <c r="J38" i="12"/>
  <c r="J39" i="12"/>
  <c r="J40" i="12"/>
  <c r="J41" i="12"/>
  <c r="B42" i="12"/>
  <c r="B44" i="12"/>
  <c r="B43" i="12"/>
  <c r="L40" i="12"/>
  <c r="B41" i="3"/>
  <c r="C41" i="3"/>
  <c r="D41" i="3"/>
  <c r="E41" i="3"/>
  <c r="F41" i="3"/>
  <c r="G41" i="3"/>
  <c r="H41" i="3"/>
  <c r="J29" i="3"/>
  <c r="J30" i="3"/>
  <c r="J31" i="3"/>
  <c r="J32" i="3"/>
  <c r="J35" i="3"/>
  <c r="J36" i="3"/>
  <c r="J37" i="3"/>
  <c r="J38" i="3"/>
  <c r="J39" i="3"/>
  <c r="J40" i="3"/>
  <c r="J41" i="3"/>
  <c r="B42" i="3"/>
  <c r="B44" i="3"/>
  <c r="B43" i="3"/>
  <c r="L40" i="3"/>
  <c r="B41" i="2"/>
  <c r="C41" i="2"/>
  <c r="D41" i="2"/>
  <c r="E41" i="2"/>
  <c r="F41" i="2"/>
  <c r="G41" i="2"/>
  <c r="H41" i="2"/>
  <c r="J29" i="2"/>
  <c r="J30" i="2"/>
  <c r="J31" i="2"/>
  <c r="J32" i="2"/>
  <c r="J35" i="2"/>
  <c r="J36" i="2"/>
  <c r="J37" i="2"/>
  <c r="J38" i="2"/>
  <c r="J39" i="2"/>
  <c r="J40" i="2"/>
  <c r="J41" i="2"/>
  <c r="B42" i="2"/>
  <c r="B44" i="2"/>
  <c r="B43" i="2"/>
  <c r="L40" i="2"/>
  <c r="L40" i="6"/>
  <c r="J41" i="6"/>
  <c r="B42" i="6"/>
  <c r="H41" i="6"/>
  <c r="G41" i="6"/>
  <c r="F41" i="6"/>
  <c r="E41" i="6"/>
  <c r="D41" i="6"/>
  <c r="C41" i="6"/>
  <c r="B41" i="6"/>
  <c r="J40" i="6"/>
  <c r="J39" i="6"/>
  <c r="J38" i="6"/>
  <c r="J37" i="6"/>
  <c r="J36" i="6"/>
  <c r="J35" i="6"/>
  <c r="J32" i="6"/>
  <c r="J31" i="6"/>
  <c r="J30" i="6"/>
  <c r="J29" i="6"/>
  <c r="B22" i="6"/>
  <c r="L28" i="2"/>
  <c r="L28" i="17"/>
  <c r="K18" i="16"/>
  <c r="J18" i="16"/>
  <c r="H18" i="16"/>
  <c r="G18" i="16"/>
  <c r="F18" i="16"/>
  <c r="E18" i="16"/>
  <c r="D18" i="16"/>
  <c r="C18" i="16"/>
  <c r="B18" i="16"/>
  <c r="B19" i="16"/>
  <c r="M18" i="16"/>
  <c r="B33" i="16"/>
  <c r="B20" i="16"/>
  <c r="D35" i="16"/>
  <c r="C33" i="16"/>
  <c r="D33" i="16"/>
  <c r="E33" i="16"/>
  <c r="F33" i="16"/>
  <c r="G33" i="16"/>
  <c r="H33" i="16"/>
  <c r="B34" i="16"/>
  <c r="B35" i="16"/>
  <c r="H1" i="16"/>
  <c r="M33" i="16"/>
  <c r="J33" i="16"/>
  <c r="D49" i="11"/>
  <c r="B47" i="11"/>
  <c r="C47" i="11"/>
  <c r="D47" i="11"/>
  <c r="E47" i="11"/>
  <c r="F47" i="11"/>
  <c r="G47" i="11"/>
  <c r="H47" i="11"/>
  <c r="B48" i="11"/>
  <c r="B49" i="11"/>
  <c r="J47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M47" i="11"/>
  <c r="B32" i="11"/>
  <c r="C32" i="11"/>
  <c r="D32" i="11"/>
  <c r="E32" i="11"/>
  <c r="F32" i="11"/>
  <c r="G32" i="11"/>
  <c r="H32" i="11"/>
  <c r="J32" i="11"/>
  <c r="B33" i="11"/>
  <c r="H1" i="7"/>
  <c r="J29" i="7"/>
  <c r="J30" i="7"/>
  <c r="J31" i="7"/>
  <c r="J32" i="7"/>
  <c r="J33" i="7"/>
  <c r="J34" i="7"/>
  <c r="J35" i="7"/>
  <c r="J36" i="7"/>
  <c r="J37" i="7"/>
  <c r="J38" i="7"/>
  <c r="J39" i="7"/>
  <c r="J40" i="7"/>
  <c r="L40" i="7"/>
  <c r="H5" i="16"/>
  <c r="D23" i="20"/>
  <c r="B20" i="20"/>
  <c r="C20" i="20"/>
  <c r="D20" i="20"/>
  <c r="E20" i="20"/>
  <c r="F20" i="20"/>
  <c r="G20" i="20"/>
  <c r="H20" i="20"/>
  <c r="H1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B21" i="20"/>
  <c r="B22" i="20"/>
  <c r="L20" i="20"/>
  <c r="D32" i="18"/>
  <c r="B29" i="18"/>
  <c r="C29" i="18"/>
  <c r="D29" i="18"/>
  <c r="E29" i="18"/>
  <c r="F29" i="18"/>
  <c r="G29" i="18"/>
  <c r="H29" i="18"/>
  <c r="H1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B30" i="18"/>
  <c r="B31" i="18"/>
  <c r="L29" i="18"/>
  <c r="D44" i="9"/>
  <c r="B41" i="9"/>
  <c r="C41" i="9"/>
  <c r="D41" i="9"/>
  <c r="E41" i="9"/>
  <c r="F41" i="9"/>
  <c r="G41" i="9"/>
  <c r="H41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B42" i="9"/>
  <c r="B43" i="9"/>
  <c r="L40" i="9"/>
  <c r="J29" i="8"/>
  <c r="J30" i="8"/>
  <c r="J31" i="8"/>
  <c r="J32" i="8"/>
  <c r="J33" i="8"/>
  <c r="J34" i="8"/>
  <c r="J35" i="8"/>
  <c r="J36" i="8"/>
  <c r="J37" i="8"/>
  <c r="J38" i="8"/>
  <c r="J39" i="8"/>
  <c r="J40" i="8"/>
  <c r="L40" i="8"/>
  <c r="D44" i="8"/>
  <c r="B41" i="8"/>
  <c r="C41" i="8"/>
  <c r="D41" i="8"/>
  <c r="E41" i="8"/>
  <c r="F41" i="8"/>
  <c r="G41" i="8"/>
  <c r="H41" i="8"/>
  <c r="J41" i="8"/>
  <c r="B42" i="8"/>
  <c r="B43" i="8"/>
  <c r="D44" i="7"/>
  <c r="B41" i="7"/>
  <c r="C41" i="7"/>
  <c r="D41" i="7"/>
  <c r="E41" i="7"/>
  <c r="F41" i="7"/>
  <c r="G41" i="7"/>
  <c r="H41" i="7"/>
  <c r="J41" i="7"/>
  <c r="B42" i="7"/>
  <c r="B43" i="7"/>
  <c r="D44" i="17"/>
  <c r="B41" i="17"/>
  <c r="C41" i="17"/>
  <c r="D41" i="17"/>
  <c r="E41" i="17"/>
  <c r="F41" i="17"/>
  <c r="G41" i="17"/>
  <c r="H41" i="17"/>
  <c r="J41" i="17"/>
  <c r="B42" i="17"/>
  <c r="B43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L40" i="17"/>
  <c r="J18" i="2"/>
  <c r="J19" i="2"/>
  <c r="J20" i="2"/>
  <c r="J21" i="2"/>
  <c r="J22" i="2"/>
  <c r="J23" i="2"/>
  <c r="J24" i="2"/>
  <c r="J25" i="2"/>
  <c r="J26" i="2"/>
  <c r="J27" i="2"/>
  <c r="J28" i="2"/>
  <c r="H1" i="2"/>
  <c r="R11" i="5"/>
  <c r="R10" i="5"/>
  <c r="R2" i="5"/>
  <c r="R1" i="5"/>
  <c r="O2" i="5"/>
  <c r="O1" i="5"/>
  <c r="R4" i="5"/>
  <c r="R5" i="5"/>
  <c r="R6" i="5"/>
  <c r="R7" i="5"/>
  <c r="R8" i="5"/>
  <c r="R9" i="5"/>
  <c r="H1" i="5"/>
  <c r="J30" i="5"/>
  <c r="R2" i="4"/>
  <c r="R1" i="4"/>
  <c r="O2" i="4"/>
  <c r="O1" i="4"/>
  <c r="B1" i="4"/>
  <c r="B2" i="4"/>
  <c r="R4" i="4"/>
  <c r="R5" i="4"/>
  <c r="R6" i="4"/>
  <c r="R7" i="4"/>
  <c r="R8" i="4"/>
  <c r="R9" i="4"/>
  <c r="R10" i="4"/>
  <c r="J28" i="19"/>
  <c r="J29" i="19"/>
  <c r="B5" i="19"/>
  <c r="B6" i="19"/>
  <c r="B7" i="19"/>
  <c r="B8" i="19"/>
  <c r="B9" i="19"/>
  <c r="B10" i="19"/>
  <c r="B11" i="19"/>
  <c r="B12" i="19"/>
  <c r="B13" i="19"/>
  <c r="B14" i="19"/>
  <c r="B15" i="19"/>
  <c r="B16" i="19"/>
  <c r="C29" i="19"/>
  <c r="D29" i="19"/>
  <c r="B29" i="19"/>
  <c r="J22" i="19"/>
  <c r="J25" i="19"/>
  <c r="J26" i="19"/>
  <c r="J27" i="19"/>
  <c r="J17" i="19"/>
  <c r="J18" i="19"/>
  <c r="J19" i="19"/>
  <c r="J20" i="19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5" i="4"/>
  <c r="B6" i="4"/>
  <c r="B7" i="4"/>
  <c r="B8" i="4"/>
  <c r="B9" i="4"/>
  <c r="B10" i="4"/>
  <c r="B13" i="4"/>
  <c r="B14" i="4"/>
  <c r="B16" i="4"/>
  <c r="B5" i="7"/>
  <c r="E5" i="7"/>
  <c r="J5" i="7"/>
  <c r="B6" i="7"/>
  <c r="E6" i="7"/>
  <c r="J6" i="7"/>
  <c r="B7" i="7"/>
  <c r="E7" i="7"/>
  <c r="J7" i="7"/>
  <c r="B8" i="7"/>
  <c r="E8" i="7"/>
  <c r="J8" i="7"/>
  <c r="B9" i="7"/>
  <c r="E9" i="7"/>
  <c r="J9" i="7"/>
  <c r="B10" i="7"/>
  <c r="E10" i="7"/>
  <c r="J10" i="7"/>
  <c r="B11" i="7"/>
  <c r="E11" i="7"/>
  <c r="J11" i="7"/>
  <c r="B12" i="7"/>
  <c r="E12" i="7"/>
  <c r="J12" i="7"/>
  <c r="B13" i="7"/>
  <c r="E13" i="7"/>
  <c r="J13" i="7"/>
  <c r="B14" i="7"/>
  <c r="J14" i="7"/>
  <c r="B15" i="7"/>
  <c r="C15" i="7"/>
  <c r="J15" i="7"/>
  <c r="B16" i="7"/>
  <c r="J16" i="7"/>
  <c r="J17" i="7"/>
  <c r="C18" i="7"/>
  <c r="J18" i="7"/>
  <c r="C19" i="7"/>
  <c r="J19" i="7"/>
  <c r="C20" i="7"/>
  <c r="J20" i="7"/>
  <c r="C21" i="7"/>
  <c r="J21" i="7"/>
  <c r="C22" i="7"/>
  <c r="J22" i="7"/>
  <c r="C23" i="7"/>
  <c r="J23" i="7"/>
  <c r="C24" i="7"/>
  <c r="J24" i="7"/>
  <c r="C25" i="7"/>
  <c r="J25" i="7"/>
  <c r="C26" i="7"/>
  <c r="J26" i="7"/>
  <c r="C27" i="7"/>
  <c r="J27" i="7"/>
  <c r="C28" i="7"/>
  <c r="J28" i="7"/>
  <c r="E26" i="5"/>
  <c r="E27" i="5"/>
  <c r="E28" i="5"/>
  <c r="E29" i="5"/>
  <c r="E30" i="5"/>
  <c r="E31" i="5"/>
  <c r="E32" i="5"/>
  <c r="E33" i="5"/>
  <c r="E34" i="5"/>
  <c r="E35" i="5"/>
  <c r="E36" i="5"/>
  <c r="E37" i="5"/>
  <c r="J26" i="5"/>
  <c r="J27" i="5"/>
  <c r="J28" i="5"/>
  <c r="J29" i="5"/>
  <c r="J31" i="5"/>
  <c r="J32" i="5"/>
  <c r="J33" i="5"/>
  <c r="J34" i="5"/>
  <c r="J35" i="5"/>
  <c r="J36" i="5"/>
  <c r="J37" i="5"/>
  <c r="L37" i="5"/>
  <c r="E14" i="5"/>
  <c r="E15" i="5"/>
  <c r="E16" i="5"/>
  <c r="E17" i="5"/>
  <c r="E18" i="5"/>
  <c r="E19" i="5"/>
  <c r="E20" i="5"/>
  <c r="E21" i="5"/>
  <c r="E22" i="5"/>
  <c r="E23" i="5"/>
  <c r="E24" i="5"/>
  <c r="E25" i="5"/>
  <c r="J14" i="5"/>
  <c r="J15" i="5"/>
  <c r="J16" i="5"/>
  <c r="J17" i="5"/>
  <c r="J18" i="5"/>
  <c r="J19" i="5"/>
  <c r="J20" i="5"/>
  <c r="J21" i="5"/>
  <c r="J22" i="5"/>
  <c r="J23" i="5"/>
  <c r="J24" i="5"/>
  <c r="J25" i="5"/>
  <c r="L25" i="5"/>
  <c r="J7" i="20"/>
  <c r="J5" i="20"/>
  <c r="J6" i="20"/>
  <c r="L8" i="20"/>
  <c r="J28" i="9"/>
  <c r="L28" i="9"/>
  <c r="M31" i="13"/>
  <c r="L16" i="7"/>
  <c r="J17" i="17"/>
  <c r="D2" i="20"/>
  <c r="H2" i="20"/>
  <c r="D1" i="20"/>
  <c r="F2" i="20"/>
  <c r="B2" i="20"/>
  <c r="F1" i="20"/>
  <c r="B1" i="20"/>
  <c r="X22" i="1"/>
  <c r="Y22" i="1"/>
  <c r="Z6" i="1"/>
  <c r="Z9" i="1"/>
  <c r="Z12" i="1"/>
  <c r="Z13" i="1"/>
  <c r="Z14" i="1"/>
  <c r="Z15" i="1"/>
  <c r="Z22" i="1"/>
  <c r="V18" i="1"/>
  <c r="Z18" i="1"/>
  <c r="AB18" i="1"/>
  <c r="AA18" i="1"/>
  <c r="X19" i="1"/>
  <c r="AA19" i="1"/>
  <c r="AB19" i="1"/>
  <c r="V2" i="1"/>
  <c r="Z2" i="1"/>
  <c r="AA2" i="1"/>
  <c r="V3" i="1"/>
  <c r="Z3" i="1"/>
  <c r="AA3" i="1"/>
  <c r="V4" i="1"/>
  <c r="Z4" i="1"/>
  <c r="AA4" i="1"/>
  <c r="V5" i="1"/>
  <c r="Z5" i="1"/>
  <c r="AA5" i="1"/>
  <c r="V6" i="1"/>
  <c r="AA6" i="1"/>
  <c r="V7" i="1"/>
  <c r="Z7" i="1"/>
  <c r="AA7" i="1"/>
  <c r="V8" i="1"/>
  <c r="Z8" i="1"/>
  <c r="AA8" i="1"/>
  <c r="V9" i="1"/>
  <c r="AA9" i="1"/>
  <c r="V10" i="1"/>
  <c r="Z10" i="1"/>
  <c r="AA10" i="1"/>
  <c r="V11" i="1"/>
  <c r="Z11" i="1"/>
  <c r="AA11" i="1"/>
  <c r="V12" i="1"/>
  <c r="AA12" i="1"/>
  <c r="V13" i="1"/>
  <c r="AA13" i="1"/>
  <c r="V14" i="1"/>
  <c r="AA14" i="1"/>
  <c r="V15" i="1"/>
  <c r="AA15" i="1"/>
  <c r="V16" i="1"/>
  <c r="Z16" i="1"/>
  <c r="AA16" i="1"/>
  <c r="V17" i="1"/>
  <c r="Z17" i="1"/>
  <c r="AA17" i="1"/>
  <c r="AA20" i="1"/>
  <c r="AA21" i="1"/>
  <c r="AA22" i="1"/>
  <c r="AB6" i="1"/>
  <c r="AB14" i="1"/>
  <c r="AB15" i="1"/>
  <c r="X16" i="1"/>
  <c r="X20" i="1"/>
  <c r="X21" i="1"/>
  <c r="B20" i="13"/>
  <c r="B32" i="13"/>
  <c r="B21" i="10"/>
  <c r="H1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L20" i="10"/>
  <c r="D31" i="19"/>
  <c r="E29" i="19"/>
  <c r="F29" i="19"/>
  <c r="G29" i="19"/>
  <c r="H29" i="19"/>
  <c r="H1" i="19"/>
  <c r="J21" i="19"/>
  <c r="J23" i="19"/>
  <c r="J24" i="19"/>
  <c r="B30" i="19"/>
  <c r="B31" i="19"/>
  <c r="L28" i="19"/>
  <c r="E5" i="19"/>
  <c r="E6" i="19"/>
  <c r="E7" i="19"/>
  <c r="E8" i="19"/>
  <c r="E9" i="19"/>
  <c r="E10" i="19"/>
  <c r="E11" i="19"/>
  <c r="E12" i="19"/>
  <c r="E13" i="19"/>
  <c r="J5" i="19"/>
  <c r="J6" i="19"/>
  <c r="J7" i="19"/>
  <c r="J8" i="19"/>
  <c r="J9" i="19"/>
  <c r="J10" i="19"/>
  <c r="J11" i="19"/>
  <c r="J12" i="19"/>
  <c r="J13" i="19"/>
  <c r="J14" i="19"/>
  <c r="J15" i="19"/>
  <c r="J16" i="19"/>
  <c r="L16" i="19"/>
  <c r="H2" i="19"/>
  <c r="F2" i="19"/>
  <c r="D2" i="19"/>
  <c r="B2" i="19"/>
  <c r="F1" i="19"/>
  <c r="D1" i="19"/>
  <c r="B1" i="19"/>
  <c r="H28" i="13"/>
  <c r="J12" i="18"/>
  <c r="J13" i="18"/>
  <c r="H1" i="9"/>
  <c r="J26" i="9"/>
  <c r="J25" i="9"/>
  <c r="H1" i="17"/>
  <c r="J25" i="17"/>
  <c r="J5" i="10"/>
  <c r="J6" i="10"/>
  <c r="J7" i="10"/>
  <c r="J8" i="10"/>
  <c r="J21" i="10"/>
  <c r="C21" i="10"/>
  <c r="D21" i="10"/>
  <c r="F1" i="18"/>
  <c r="F2" i="18"/>
  <c r="B2" i="18"/>
  <c r="B1" i="18"/>
  <c r="H2" i="18"/>
  <c r="D2" i="18"/>
  <c r="D1" i="18"/>
  <c r="J5" i="18"/>
  <c r="J6" i="18"/>
  <c r="J7" i="18"/>
  <c r="J8" i="18"/>
  <c r="J9" i="18"/>
  <c r="J10" i="18"/>
  <c r="J11" i="18"/>
  <c r="J14" i="18"/>
  <c r="J15" i="18"/>
  <c r="J16" i="18"/>
  <c r="L17" i="18"/>
  <c r="H1" i="3"/>
  <c r="J5" i="3"/>
  <c r="J6" i="3"/>
  <c r="J7" i="3"/>
  <c r="J8" i="3"/>
  <c r="J9" i="3"/>
  <c r="J10" i="3"/>
  <c r="J11" i="3"/>
  <c r="J12" i="3"/>
  <c r="J13" i="3"/>
  <c r="J14" i="3"/>
  <c r="J15" i="3"/>
  <c r="J16" i="3"/>
  <c r="L16" i="3"/>
  <c r="AB17" i="1"/>
  <c r="H22" i="3"/>
  <c r="B5" i="11"/>
  <c r="B6" i="11"/>
  <c r="B7" i="11"/>
  <c r="B8" i="11"/>
  <c r="B9" i="11"/>
  <c r="B10" i="11"/>
  <c r="B11" i="11"/>
  <c r="B12" i="11"/>
  <c r="B13" i="11"/>
  <c r="B14" i="11"/>
  <c r="B15" i="11"/>
  <c r="B17" i="11"/>
  <c r="K5" i="11"/>
  <c r="K6" i="11"/>
  <c r="K7" i="11"/>
  <c r="K8" i="11"/>
  <c r="K9" i="11"/>
  <c r="K11" i="11"/>
  <c r="K12" i="11"/>
  <c r="K13" i="11"/>
  <c r="K14" i="11"/>
  <c r="K15" i="11"/>
  <c r="K16" i="11"/>
  <c r="K17" i="11"/>
  <c r="C17" i="11"/>
  <c r="D17" i="11"/>
  <c r="E17" i="11"/>
  <c r="F17" i="11"/>
  <c r="G17" i="11"/>
  <c r="H17" i="11"/>
  <c r="B18" i="11"/>
  <c r="B19" i="11"/>
  <c r="E32" i="13"/>
  <c r="G32" i="13"/>
  <c r="C32" i="13"/>
  <c r="F32" i="13"/>
  <c r="H32" i="13"/>
  <c r="H1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D32" i="13"/>
  <c r="B33" i="13"/>
  <c r="J32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B18" i="13"/>
  <c r="B19" i="13"/>
  <c r="B34" i="13"/>
  <c r="H1" i="6"/>
  <c r="J19" i="6"/>
  <c r="J17" i="6"/>
  <c r="J18" i="6"/>
  <c r="J20" i="6"/>
  <c r="J23" i="6"/>
  <c r="J24" i="6"/>
  <c r="J25" i="6"/>
  <c r="J26" i="6"/>
  <c r="J27" i="6"/>
  <c r="J28" i="6"/>
  <c r="H1" i="12"/>
  <c r="J19" i="12"/>
  <c r="J17" i="12"/>
  <c r="J18" i="12"/>
  <c r="J20" i="12"/>
  <c r="J21" i="12"/>
  <c r="J22" i="12"/>
  <c r="J23" i="12"/>
  <c r="J24" i="12"/>
  <c r="J25" i="12"/>
  <c r="J26" i="12"/>
  <c r="J27" i="12"/>
  <c r="J28" i="12"/>
  <c r="B2" i="16"/>
  <c r="H2" i="16"/>
  <c r="F2" i="16"/>
  <c r="F1" i="16"/>
  <c r="D2" i="16"/>
  <c r="D1" i="16"/>
  <c r="B1" i="16"/>
  <c r="AB16" i="1"/>
  <c r="W16" i="1"/>
  <c r="J18" i="17"/>
  <c r="J19" i="17"/>
  <c r="J20" i="17"/>
  <c r="J21" i="17"/>
  <c r="J22" i="17"/>
  <c r="J23" i="17"/>
  <c r="J24" i="17"/>
  <c r="J26" i="17"/>
  <c r="J27" i="17"/>
  <c r="J28" i="17"/>
  <c r="B15" i="17"/>
  <c r="B16" i="17"/>
  <c r="E15" i="17"/>
  <c r="J5" i="17"/>
  <c r="J6" i="17"/>
  <c r="J7" i="17"/>
  <c r="J8" i="17"/>
  <c r="J9" i="17"/>
  <c r="J10" i="17"/>
  <c r="J11" i="17"/>
  <c r="J12" i="17"/>
  <c r="J13" i="17"/>
  <c r="J14" i="17"/>
  <c r="J15" i="17"/>
  <c r="J16" i="17"/>
  <c r="L16" i="17"/>
  <c r="H2" i="17"/>
  <c r="F2" i="17"/>
  <c r="D2" i="17"/>
  <c r="B2" i="17"/>
  <c r="F1" i="17"/>
  <c r="D1" i="17"/>
  <c r="B1" i="17"/>
  <c r="M32" i="11"/>
  <c r="M17" i="11"/>
  <c r="M16" i="13"/>
  <c r="E5" i="5"/>
  <c r="E6" i="5"/>
  <c r="E7" i="5"/>
  <c r="E8" i="5"/>
  <c r="E9" i="5"/>
  <c r="E10" i="5"/>
  <c r="E11" i="5"/>
  <c r="E12" i="5"/>
  <c r="E13" i="5"/>
  <c r="J5" i="5"/>
  <c r="J6" i="5"/>
  <c r="J7" i="5"/>
  <c r="J8" i="5"/>
  <c r="J9" i="5"/>
  <c r="J10" i="5"/>
  <c r="J11" i="5"/>
  <c r="J12" i="5"/>
  <c r="J13" i="5"/>
  <c r="L13" i="5"/>
  <c r="J17" i="2"/>
  <c r="J5" i="2"/>
  <c r="J6" i="2"/>
  <c r="J7" i="2"/>
  <c r="J8" i="2"/>
  <c r="J9" i="2"/>
  <c r="J10" i="2"/>
  <c r="J11" i="2"/>
  <c r="J12" i="2"/>
  <c r="J13" i="2"/>
  <c r="J14" i="2"/>
  <c r="J15" i="2"/>
  <c r="J16" i="2"/>
  <c r="L16" i="2"/>
  <c r="J17" i="3"/>
  <c r="J18" i="3"/>
  <c r="J19" i="3"/>
  <c r="J20" i="3"/>
  <c r="J21" i="3"/>
  <c r="J22" i="3"/>
  <c r="J23" i="3"/>
  <c r="J24" i="3"/>
  <c r="J25" i="3"/>
  <c r="J26" i="3"/>
  <c r="J27" i="3"/>
  <c r="J28" i="3"/>
  <c r="L28" i="3"/>
  <c r="L28" i="12"/>
  <c r="J5" i="12"/>
  <c r="J6" i="12"/>
  <c r="J7" i="12"/>
  <c r="J8" i="12"/>
  <c r="J9" i="12"/>
  <c r="J10" i="12"/>
  <c r="J11" i="12"/>
  <c r="J12" i="12"/>
  <c r="J13" i="12"/>
  <c r="J14" i="12"/>
  <c r="J15" i="12"/>
  <c r="J16" i="12"/>
  <c r="L16" i="12"/>
  <c r="H1" i="4"/>
  <c r="J17" i="4"/>
  <c r="J18" i="4"/>
  <c r="J19" i="4"/>
  <c r="J20" i="4"/>
  <c r="J21" i="4"/>
  <c r="J22" i="4"/>
  <c r="J23" i="4"/>
  <c r="J24" i="4"/>
  <c r="J25" i="4"/>
  <c r="J26" i="4"/>
  <c r="J27" i="4"/>
  <c r="J28" i="4"/>
  <c r="L28" i="4"/>
  <c r="J5" i="4"/>
  <c r="J6" i="4"/>
  <c r="J7" i="4"/>
  <c r="J8" i="4"/>
  <c r="J10" i="4"/>
  <c r="J11" i="4"/>
  <c r="J12" i="4"/>
  <c r="J13" i="4"/>
  <c r="J14" i="4"/>
  <c r="J15" i="4"/>
  <c r="J16" i="4"/>
  <c r="L16" i="4"/>
  <c r="L28" i="6"/>
  <c r="B8" i="6"/>
  <c r="B9" i="6"/>
  <c r="B10" i="6"/>
  <c r="B11" i="6"/>
  <c r="B12" i="6"/>
  <c r="B13" i="6"/>
  <c r="B14" i="6"/>
  <c r="B15" i="6"/>
  <c r="B16" i="6"/>
  <c r="J5" i="6"/>
  <c r="J6" i="6"/>
  <c r="J7" i="6"/>
  <c r="J8" i="6"/>
  <c r="J9" i="6"/>
  <c r="J10" i="6"/>
  <c r="J11" i="6"/>
  <c r="J12" i="6"/>
  <c r="J13" i="6"/>
  <c r="J14" i="6"/>
  <c r="J15" i="6"/>
  <c r="J16" i="6"/>
  <c r="L16" i="6"/>
  <c r="L28" i="7"/>
  <c r="L8" i="10"/>
  <c r="J17" i="8"/>
  <c r="J18" i="8"/>
  <c r="J19" i="8"/>
  <c r="J20" i="8"/>
  <c r="J23" i="8"/>
  <c r="J25" i="8"/>
  <c r="J26" i="8"/>
  <c r="J27" i="8"/>
  <c r="J28" i="8"/>
  <c r="L28" i="8"/>
  <c r="B5" i="8"/>
  <c r="B6" i="8"/>
  <c r="B7" i="8"/>
  <c r="B8" i="8"/>
  <c r="B9" i="8"/>
  <c r="B10" i="8"/>
  <c r="B11" i="8"/>
  <c r="B12" i="8"/>
  <c r="B13" i="8"/>
  <c r="B14" i="8"/>
  <c r="B15" i="8"/>
  <c r="E5" i="8"/>
  <c r="E6" i="8"/>
  <c r="E7" i="8"/>
  <c r="E8" i="8"/>
  <c r="E9" i="8"/>
  <c r="E10" i="8"/>
  <c r="E11" i="8"/>
  <c r="J5" i="8"/>
  <c r="J6" i="8"/>
  <c r="J7" i="8"/>
  <c r="J8" i="8"/>
  <c r="J9" i="8"/>
  <c r="J10" i="8"/>
  <c r="J11" i="8"/>
  <c r="J12" i="8"/>
  <c r="J13" i="8"/>
  <c r="J14" i="8"/>
  <c r="J15" i="8"/>
  <c r="J16" i="8"/>
  <c r="L16" i="8"/>
  <c r="L16" i="9"/>
  <c r="J18" i="9"/>
  <c r="J20" i="9"/>
  <c r="J21" i="9"/>
  <c r="J22" i="9"/>
  <c r="J23" i="9"/>
  <c r="J24" i="9"/>
  <c r="J27" i="9"/>
  <c r="J17" i="9"/>
  <c r="E21" i="10"/>
  <c r="F21" i="10"/>
  <c r="G21" i="10"/>
  <c r="H21" i="10"/>
  <c r="B22" i="10"/>
  <c r="D23" i="10"/>
  <c r="B23" i="10"/>
  <c r="C17" i="13"/>
  <c r="D17" i="13"/>
  <c r="E17" i="13"/>
  <c r="F17" i="13"/>
  <c r="G17" i="13"/>
  <c r="H17" i="13"/>
  <c r="D34" i="13"/>
  <c r="B43" i="6"/>
  <c r="B1" i="8"/>
  <c r="W6" i="1"/>
  <c r="W15" i="1"/>
  <c r="W14" i="1"/>
  <c r="AB13" i="1"/>
  <c r="AB12" i="1"/>
  <c r="AB11" i="1"/>
  <c r="AB10" i="1"/>
  <c r="AB9" i="1"/>
  <c r="AB8" i="1"/>
  <c r="AB7" i="1"/>
  <c r="AB5" i="1"/>
  <c r="AB4" i="1"/>
  <c r="AB3" i="1"/>
  <c r="H2" i="13"/>
  <c r="F2" i="13"/>
  <c r="F1" i="13"/>
  <c r="D2" i="13"/>
  <c r="B2" i="13"/>
  <c r="D1" i="13"/>
  <c r="B1" i="13"/>
  <c r="H2" i="12"/>
  <c r="F2" i="12"/>
  <c r="F1" i="12"/>
  <c r="D2" i="12"/>
  <c r="B2" i="12"/>
  <c r="D1" i="12"/>
  <c r="B1" i="12"/>
  <c r="H2" i="11"/>
  <c r="F2" i="11"/>
  <c r="F1" i="11"/>
  <c r="D2" i="11"/>
  <c r="B2" i="11"/>
  <c r="D1" i="11"/>
  <c r="B1" i="11"/>
  <c r="H2" i="10"/>
  <c r="F2" i="10"/>
  <c r="F1" i="10"/>
  <c r="D2" i="10"/>
  <c r="B2" i="10"/>
  <c r="D1" i="10"/>
  <c r="B1" i="10"/>
  <c r="H2" i="9"/>
  <c r="F2" i="9"/>
  <c r="F1" i="9"/>
  <c r="D2" i="9"/>
  <c r="B2" i="9"/>
  <c r="D1" i="9"/>
  <c r="B1" i="9"/>
  <c r="H2" i="8"/>
  <c r="F2" i="8"/>
  <c r="F1" i="8"/>
  <c r="D2" i="8"/>
  <c r="B2" i="8"/>
  <c r="D1" i="8"/>
  <c r="H2" i="7"/>
  <c r="F2" i="7"/>
  <c r="F1" i="7"/>
  <c r="D2" i="7"/>
  <c r="B2" i="7"/>
  <c r="D1" i="7"/>
  <c r="B1" i="7"/>
  <c r="H2" i="6"/>
  <c r="F2" i="6"/>
  <c r="F1" i="6"/>
  <c r="D2" i="6"/>
  <c r="B2" i="6"/>
  <c r="D1" i="6"/>
  <c r="B1" i="6"/>
  <c r="H2" i="5"/>
  <c r="F2" i="5"/>
  <c r="F1" i="5"/>
  <c r="D2" i="5"/>
  <c r="B2" i="5"/>
  <c r="D1" i="5"/>
  <c r="B1" i="5"/>
  <c r="H2" i="4"/>
  <c r="F2" i="4"/>
  <c r="F1" i="4"/>
  <c r="D2" i="4"/>
  <c r="D1" i="4"/>
  <c r="H2" i="3"/>
  <c r="F2" i="3"/>
  <c r="F1" i="3"/>
  <c r="D2" i="3"/>
  <c r="B2" i="3"/>
  <c r="D1" i="3"/>
  <c r="B1" i="3"/>
  <c r="H2" i="2"/>
  <c r="F2" i="2"/>
  <c r="F1" i="2"/>
  <c r="D1" i="2"/>
  <c r="D2" i="2"/>
  <c r="B2" i="2"/>
  <c r="B1" i="2"/>
  <c r="AB20" i="1"/>
  <c r="AB21" i="1"/>
  <c r="A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tc={1986DC87-DAA1-304D-A777-FE86BEA81A62}</author>
    <author>tc={71F7F079-AA97-B447-AD30-A9F56FCB6BE8}</author>
  </authors>
  <commentList>
    <comment ref="B28" authorId="0" shapeId="0" xr:uid="{1986DC87-DAA1-304D-A777-FE86BEA81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Rent+Deposit</t>
      </text>
    </comment>
    <comment ref="B29" authorId="1" shapeId="0" xr:uid="{71F7F079-AA97-B447-AD30-A9F56FCB6B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Refunded deposit - 40BHD repairs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tc={D087A414-FD65-6149-A75B-736C76E0D42B}</author>
    <author>tc={E83F82F3-9181-2A4E-870A-864EEFA7F243}</author>
    <author>tc={69AE9ED8-120A-C546-9473-45724A7FD01E}</author>
    <author>tc={E2B01DF0-CF39-8141-B0EC-74FB649C6C8E}</author>
  </authors>
  <commentList>
    <comment ref="B5" authorId="0" shapeId="0" xr:uid="{D087A414-FD65-6149-A75B-736C76E0D4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Prorated rent 28-jan to 8-feb</t>
      </text>
    </comment>
    <comment ref="B6" authorId="1" shapeId="0" xr:uid="{E83F82F3-9181-2A4E-870A-864EEFA7F243}">
      <text>
        <t>[Threaded comment]
Your version of Excel allows you to read this threaded comment; however, any edits to it will get removed if the file is opened in a newer version of Excel. Learn more: https://go.microsoft.com/fwlink/?linkid=870924
Comment:
    Security deposit</t>
      </text>
    </comment>
    <comment ref="B7" authorId="2" shapeId="0" xr:uid="{69AE9ED8-120A-C546-9473-45724A7FD01E}">
      <text>
        <t>[Threaded comment]
Your version of Excel allows you to read this threaded comment; however, any edits to it will get removed if the file is opened in a newer version of Excel. Learn more: https://go.microsoft.com/fwlink/?linkid=870924
Comment:
    Tenant transfer missing 10BHD.</t>
      </text>
    </comment>
    <comment ref="B8" authorId="3" shapeId="0" xr:uid="{E2B01DF0-CF39-8141-B0EC-74FB649C6C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Rent +10 BHD balance</t>
      </text>
    </comment>
  </commentList>
</comments>
</file>

<file path=xl/sharedStrings.xml><?xml version="1.0" encoding="utf-8"?>
<sst xmlns="http://schemas.openxmlformats.org/spreadsheetml/2006/main" count="817" uniqueCount="172">
  <si>
    <t>Flat</t>
  </si>
  <si>
    <t>Maint</t>
  </si>
  <si>
    <t>EWA</t>
  </si>
  <si>
    <t>Internet</t>
  </si>
  <si>
    <t>Other</t>
  </si>
  <si>
    <t>Net</t>
  </si>
  <si>
    <t>1307A</t>
  </si>
  <si>
    <t>1407A</t>
  </si>
  <si>
    <t>1509B</t>
  </si>
  <si>
    <t>2306B</t>
  </si>
  <si>
    <t>2706B</t>
  </si>
  <si>
    <t>USD</t>
  </si>
  <si>
    <t>CAPEX</t>
  </si>
  <si>
    <t>Amal</t>
  </si>
  <si>
    <t>NPV</t>
  </si>
  <si>
    <t>ROI</t>
  </si>
  <si>
    <t>1306B</t>
  </si>
  <si>
    <t>2206B</t>
  </si>
  <si>
    <t>Pierrefitte</t>
  </si>
  <si>
    <t>Aubepine</t>
  </si>
  <si>
    <t>Figuiers</t>
  </si>
  <si>
    <t>Afgan</t>
  </si>
  <si>
    <t>Polonais</t>
  </si>
  <si>
    <t>Loai</t>
  </si>
  <si>
    <t>Ibrahim</t>
  </si>
  <si>
    <t>Rami</t>
  </si>
  <si>
    <t>Zahraa</t>
  </si>
  <si>
    <t>EWA limit</t>
  </si>
  <si>
    <t>Tenant</t>
  </si>
  <si>
    <t>Lease Start</t>
  </si>
  <si>
    <t>Lease end</t>
  </si>
  <si>
    <t>Month</t>
  </si>
  <si>
    <t>Rent</t>
  </si>
  <si>
    <t>Chiller</t>
  </si>
  <si>
    <t>Phone</t>
  </si>
  <si>
    <t>Hkeeping</t>
  </si>
  <si>
    <t>Fatme Ali Hamdan</t>
  </si>
  <si>
    <t>3443 8384</t>
  </si>
  <si>
    <t>Parking</t>
  </si>
  <si>
    <t>HK cost</t>
  </si>
  <si>
    <t>N/A</t>
  </si>
  <si>
    <t>Owner</t>
  </si>
  <si>
    <t>Mohamed</t>
  </si>
  <si>
    <t>Mondir</t>
  </si>
  <si>
    <t>Ayyoub</t>
  </si>
  <si>
    <t>Country</t>
  </si>
  <si>
    <t>Bahrain</t>
  </si>
  <si>
    <t>France</t>
  </si>
  <si>
    <t>Building</t>
  </si>
  <si>
    <t>Orchid</t>
  </si>
  <si>
    <t>Catamaran</t>
  </si>
  <si>
    <t>Tour M3</t>
  </si>
  <si>
    <t>Adress</t>
  </si>
  <si>
    <t>Internet line</t>
  </si>
  <si>
    <t>Internet cost</t>
  </si>
  <si>
    <t>Internet Provider</t>
  </si>
  <si>
    <t>Batelco</t>
  </si>
  <si>
    <t>2/wek+linen</t>
  </si>
  <si>
    <t>1/wek+linen</t>
  </si>
  <si>
    <t>3223 1104</t>
  </si>
  <si>
    <t>P4-30</t>
  </si>
  <si>
    <t>FLAT 1206 BUILDING 3132, ROAD 4653, MANAMA / SEA FRONT 0346, CAPITAL GOVERNORATE</t>
  </si>
  <si>
    <t>FLAT 2105 BUILDING 3132, ROAD 4653, MANAMA / SEA FRONT 0346, CAPITAL GOVERNORATE</t>
  </si>
  <si>
    <t>FLAT 1306 BUILDING 3132, ROAD 4653, MANAMA / SEA FRONT 0346, CAPITAL GOVERNORATE</t>
  </si>
  <si>
    <t>FLAT 1805 BUILDING 3132, ROAD 4653, MANAMA / SEA FRONT 0346, CAPITAL GOVERNORATE</t>
  </si>
  <si>
    <t>FLAT 1509 BUILDING 3329, ROAD 4655, MANAMA / SEA FRONT 0346, CAPITAL GOVERNORATE</t>
  </si>
  <si>
    <t>FLAT 1307 BUILDING 3331, ROAD 4655, MANAMA / SEA FRONT 0346, CAPITAL GOVERNORATE</t>
  </si>
  <si>
    <t>FLAT 2706 BUILDING 3329, ROAD 4655, MANAMA / SEA FRONT 0346, CAPITAL GOVERNORATE</t>
  </si>
  <si>
    <t>FLAT 1407 BUILDING 3331, ROAD 4655, MANAMA / SEA FRONT 0346, CAPITAL GOVERNORATE</t>
  </si>
  <si>
    <t>FLAT 2306 BUILDING 3329, ROAD 4655, MANAMA / SEA FRONT 0346, CAPITAL GOVERNORATE</t>
  </si>
  <si>
    <t>FLAT 1306 BUILDING 3329, ROAD 4655, MANAMA / SEA FRONT 0346, CAPITAL GOVERNORATE</t>
  </si>
  <si>
    <t>FLAT 2206 BUILDING 3329, ROAD 4655, MANAMA / SEA FRONT 0346, CAPITAL GOVERNORATE</t>
  </si>
  <si>
    <t>EWA account</t>
  </si>
  <si>
    <t>3335 4746</t>
  </si>
  <si>
    <t>P2-30</t>
  </si>
  <si>
    <t>6694 4446</t>
  </si>
  <si>
    <t>P3-40</t>
  </si>
  <si>
    <t>3944 4700</t>
  </si>
  <si>
    <t>P3-39</t>
  </si>
  <si>
    <t>P3-559</t>
  </si>
  <si>
    <t>3665 2052</t>
  </si>
  <si>
    <t>3990 5099</t>
  </si>
  <si>
    <t>P2-329</t>
  </si>
  <si>
    <t>3366 3419</t>
  </si>
  <si>
    <t>P1-65</t>
  </si>
  <si>
    <t>P1-66</t>
  </si>
  <si>
    <t>P6-19</t>
  </si>
  <si>
    <t>6666 8989</t>
  </si>
  <si>
    <t>P3-41</t>
  </si>
  <si>
    <t>P6-48</t>
  </si>
  <si>
    <t>Sultan</t>
  </si>
  <si>
    <t>Paid</t>
  </si>
  <si>
    <t>Pending</t>
  </si>
  <si>
    <t>Housekeeping</t>
  </si>
  <si>
    <t>Balance:</t>
  </si>
  <si>
    <t>EWA Excess</t>
  </si>
  <si>
    <t>Other fees</t>
  </si>
  <si>
    <t>Comments</t>
  </si>
  <si>
    <t>Manage. fees</t>
  </si>
  <si>
    <t>Flat 1105 cleared account</t>
  </si>
  <si>
    <t>2106 Annual manitenance</t>
  </si>
  <si>
    <t>Balance Date:</t>
  </si>
  <si>
    <t>Cash to Rami</t>
  </si>
  <si>
    <t>Excess pay</t>
  </si>
  <si>
    <t>FLAT 2106 BUILDING 3132, ROAD 4653, MANAMA / SEA FRONT 0346, CAPITAL GOVERNORATE</t>
  </si>
  <si>
    <t>FLAT 3507 BUILDING 3132, ROAD 4653, MANAMA / SEA FRONT 0346, CAPITAL GOVERNORATE</t>
  </si>
  <si>
    <t>FLAT 1405 BUILDING 3132, ROAD 4653, MANAMA / SEA FRONT 0346, CAPITAL GOVERNORATE</t>
  </si>
  <si>
    <t xml:space="preserve">Notary office </t>
  </si>
  <si>
    <t xml:space="preserve">SLRB 1.7% </t>
  </si>
  <si>
    <t>P3-498</t>
  </si>
  <si>
    <t>P1-212</t>
  </si>
  <si>
    <t>Peter Alan</t>
  </si>
  <si>
    <t>Internet line expiry</t>
  </si>
  <si>
    <t>17043806</t>
  </si>
  <si>
    <t>ID</t>
  </si>
  <si>
    <t>17825907</t>
  </si>
  <si>
    <t>1306 Annual manitenance</t>
  </si>
  <si>
    <t>1805 Annual manitenance</t>
  </si>
  <si>
    <t>Agent fees. EWA original bill 69.75bd</t>
  </si>
  <si>
    <t>Security deposit</t>
  </si>
  <si>
    <t>Annual maintenance 31Aug25</t>
  </si>
  <si>
    <t>Annual maintenance</t>
  </si>
  <si>
    <t>P2-350</t>
  </si>
  <si>
    <t>Shared cost</t>
  </si>
  <si>
    <t>Flat 3507 cleared account</t>
  </si>
  <si>
    <t>Transfer to rami 1/7/25</t>
  </si>
  <si>
    <t>Transfer to Rami 1/7/25</t>
  </si>
  <si>
    <t>Security deposit refund</t>
  </si>
  <si>
    <t>Agent fees</t>
  </si>
  <si>
    <t>Deposit refund</t>
  </si>
  <si>
    <t>Mikhail</t>
  </si>
  <si>
    <t>+Deposit-Agent fees</t>
  </si>
  <si>
    <t>Paul</t>
  </si>
  <si>
    <t>Omar</t>
  </si>
  <si>
    <t>FLAT 1706 BUILDING 3132, ROAD 4653, MANAMA / SEA FRONT 0346, CAPITAL GOVERNORATE</t>
  </si>
  <si>
    <t>P2-385</t>
  </si>
  <si>
    <t>Paid SLRB online</t>
  </si>
  <si>
    <t>Briote</t>
  </si>
  <si>
    <t>Title deed fees</t>
  </si>
  <si>
    <t>Payment to Owner</t>
  </si>
  <si>
    <t>Payment to owner</t>
  </si>
  <si>
    <t>Tenant runaway</t>
  </si>
  <si>
    <t>Water heater</t>
  </si>
  <si>
    <t>Amy</t>
  </si>
  <si>
    <t>Deposit 550 BHD Islam</t>
  </si>
  <si>
    <t>Ali left end of Apr</t>
  </si>
  <si>
    <t>Washing machine repair</t>
  </si>
  <si>
    <t>Deposit-comm</t>
  </si>
  <si>
    <t>Said</t>
  </si>
  <si>
    <t>FLAT 2305 BUILDING 3132, ROAD 4653, MANAMA / SEA FRONT 0346, CAPITAL GOVERNORATE</t>
  </si>
  <si>
    <t>P2-xxxx</t>
  </si>
  <si>
    <t>Islam</t>
  </si>
  <si>
    <t>Mike</t>
  </si>
  <si>
    <t>Prorated rent</t>
  </si>
  <si>
    <t>Not paid</t>
  </si>
  <si>
    <t>Mixer repair</t>
  </si>
  <si>
    <t>Flat repairs</t>
  </si>
  <si>
    <t>Rented for half month</t>
  </si>
  <si>
    <t>Abdulaziz</t>
  </si>
  <si>
    <t>FLAT 3504 BUILDING 3132, ROAD 4653, MANAMA / SEA FRONT 0346, CAPITAL GOVERNORATE</t>
  </si>
  <si>
    <t>Balance for ayoub</t>
  </si>
  <si>
    <t>P1-90</t>
  </si>
  <si>
    <t>CPR fees</t>
  </si>
  <si>
    <t>Visa for salima</t>
  </si>
  <si>
    <t>Bed+cleaning</t>
  </si>
  <si>
    <t>Washer repair</t>
  </si>
  <si>
    <t>fridge repair</t>
  </si>
  <si>
    <t>Repair skirt light</t>
  </si>
  <si>
    <t>Commission to agent</t>
  </si>
  <si>
    <t>Status</t>
  </si>
  <si>
    <t xml:space="preserve">Annual maintenance </t>
  </si>
  <si>
    <t>AC 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</si>
</sst>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[$BHD]\ * #,##0.00_);_([$BHD]\ * \(#,##0.00\);_([$BHD]\ * &quot;-&quot;??_);_(@_)"/>
    <numFmt numFmtId="166" formatCode="0.0%"/>
    <numFmt numFmtId="167" formatCode="[$-409]mmm\-yy;@"/>
    <numFmt numFmtId="168" formatCode="_([$BHD]\ * #,##0.000_);_([$BHD]\ * \(#,##0.000\);_([$BHD]\ * &quot;-&quot;??_);_(@_)"/>
    <numFmt numFmtId="169" formatCode="_([$BHD]\ * #,##0.000_);_([$BHD]\ * \(#,##0.000\);_([$BHD]\ * &quot;-&quot;?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165" fontId="0" fillId="2" borderId="0" xfId="0" applyNumberFormat="1" applyFill="1"/>
    <xf numFmtId="10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168" fontId="0" fillId="3" borderId="0" xfId="0" applyNumberFormat="1" applyFill="1"/>
    <xf numFmtId="165" fontId="0" fillId="4" borderId="0" xfId="0" applyNumberFormat="1" applyFill="1"/>
    <xf numFmtId="168" fontId="0" fillId="4" borderId="0" xfId="0" applyNumberFormat="1" applyFill="1"/>
    <xf numFmtId="0" fontId="0" fillId="4" borderId="0" xfId="0" applyFill="1"/>
    <xf numFmtId="167" fontId="2" fillId="3" borderId="0" xfId="0" applyNumberFormat="1" applyFont="1" applyFill="1" applyAlignment="1">
      <alignment horizontal="right"/>
    </xf>
    <xf numFmtId="167" fontId="2" fillId="4" borderId="0" xfId="0" applyNumberFormat="1" applyFont="1" applyFill="1" applyAlignment="1">
      <alignment horizontal="right"/>
    </xf>
    <xf numFmtId="165" fontId="2" fillId="2" borderId="0" xfId="0" applyNumberFormat="1" applyFont="1" applyFill="1"/>
    <xf numFmtId="0" fontId="0" fillId="3" borderId="0" xfId="0" applyFill="1" applyAlignment="1">
      <alignment horizontal="left"/>
    </xf>
    <xf numFmtId="15" fontId="0" fillId="3" borderId="0" xfId="0" applyNumberFormat="1" applyFill="1" applyAlignment="1">
      <alignment horizontal="left"/>
    </xf>
    <xf numFmtId="0" fontId="0" fillId="5" borderId="0" xfId="0" applyFill="1"/>
    <xf numFmtId="165" fontId="0" fillId="5" borderId="0" xfId="0" applyNumberFormat="1" applyFill="1"/>
    <xf numFmtId="0" fontId="0" fillId="5" borderId="0" xfId="0" applyFill="1" applyAlignment="1">
      <alignment horizontal="right"/>
    </xf>
    <xf numFmtId="15" fontId="0" fillId="5" borderId="0" xfId="0" applyNumberFormat="1" applyFill="1" applyAlignment="1">
      <alignment horizontal="left"/>
    </xf>
    <xf numFmtId="165" fontId="0" fillId="3" borderId="0" xfId="0" applyNumberFormat="1" applyFont="1" applyFill="1"/>
    <xf numFmtId="168" fontId="0" fillId="3" borderId="0" xfId="0" applyNumberFormat="1" applyFont="1" applyFill="1"/>
    <xf numFmtId="0" fontId="0" fillId="3" borderId="0" xfId="0" applyFont="1" applyFill="1"/>
    <xf numFmtId="0" fontId="0" fillId="6" borderId="0" xfId="0" applyFill="1"/>
    <xf numFmtId="165" fontId="0" fillId="6" borderId="0" xfId="0" applyNumberFormat="1" applyFill="1"/>
    <xf numFmtId="0" fontId="0" fillId="6" borderId="0" xfId="0" applyFill="1" applyAlignment="1">
      <alignment horizontal="right"/>
    </xf>
    <xf numFmtId="15" fontId="0" fillId="6" borderId="0" xfId="0" applyNumberFormat="1" applyFill="1" applyAlignment="1">
      <alignment horizontal="left"/>
    </xf>
    <xf numFmtId="165" fontId="2" fillId="7" borderId="0" xfId="0" applyNumberFormat="1" applyFont="1" applyFill="1"/>
    <xf numFmtId="0" fontId="0" fillId="7" borderId="0" xfId="0" applyFill="1"/>
    <xf numFmtId="165" fontId="0" fillId="7" borderId="0" xfId="0" applyNumberFormat="1" applyFill="1"/>
    <xf numFmtId="168" fontId="0" fillId="7" borderId="0" xfId="0" applyNumberFormat="1" applyFill="1"/>
    <xf numFmtId="10" fontId="0" fillId="7" borderId="0" xfId="0" applyNumberFormat="1" applyFill="1"/>
    <xf numFmtId="0" fontId="3" fillId="8" borderId="0" xfId="0" applyFont="1" applyFill="1"/>
    <xf numFmtId="0" fontId="0" fillId="3" borderId="0" xfId="0" applyNumberFormat="1" applyFill="1"/>
    <xf numFmtId="15" fontId="0" fillId="3" borderId="0" xfId="0" applyNumberFormat="1" applyFill="1"/>
    <xf numFmtId="164" fontId="0" fillId="3" borderId="0" xfId="1" applyFont="1" applyFill="1"/>
    <xf numFmtId="166" fontId="0" fillId="3" borderId="0" xfId="2" applyNumberFormat="1" applyFont="1" applyFill="1"/>
    <xf numFmtId="15" fontId="0" fillId="4" borderId="0" xfId="0" applyNumberFormat="1" applyFill="1" applyAlignment="1">
      <alignment horizontal="left"/>
    </xf>
    <xf numFmtId="0" fontId="0" fillId="4" borderId="0" xfId="0" applyNumberFormat="1" applyFill="1"/>
    <xf numFmtId="164" fontId="0" fillId="4" borderId="0" xfId="1" applyFont="1" applyFill="1"/>
    <xf numFmtId="166" fontId="0" fillId="4" borderId="0" xfId="2" applyNumberFormat="1" applyFont="1" applyFill="1"/>
    <xf numFmtId="0" fontId="3" fillId="8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NumberFormat="1" applyFill="1" applyAlignment="1">
      <alignment horizontal="left"/>
    </xf>
    <xf numFmtId="0" fontId="0" fillId="4" borderId="0" xfId="0" applyNumberFormat="1" applyFill="1" applyAlignment="1">
      <alignment horizontal="left"/>
    </xf>
    <xf numFmtId="167" fontId="2" fillId="4" borderId="1" xfId="0" applyNumberFormat="1" applyFont="1" applyFill="1" applyBorder="1" applyAlignment="1">
      <alignment horizontal="right"/>
    </xf>
    <xf numFmtId="165" fontId="0" fillId="4" borderId="2" xfId="0" applyNumberFormat="1" applyFill="1" applyBorder="1"/>
    <xf numFmtId="168" fontId="0" fillId="4" borderId="2" xfId="0" applyNumberFormat="1" applyFill="1" applyBorder="1"/>
    <xf numFmtId="0" fontId="0" fillId="4" borderId="3" xfId="0" applyFill="1" applyBorder="1"/>
    <xf numFmtId="167" fontId="2" fillId="3" borderId="4" xfId="0" applyNumberFormat="1" applyFont="1" applyFill="1" applyBorder="1" applyAlignment="1">
      <alignment horizontal="right"/>
    </xf>
    <xf numFmtId="165" fontId="0" fillId="3" borderId="0" xfId="0" applyNumberFormat="1" applyFill="1" applyBorder="1"/>
    <xf numFmtId="168" fontId="0" fillId="3" borderId="0" xfId="0" applyNumberFormat="1" applyFill="1" applyBorder="1"/>
    <xf numFmtId="0" fontId="0" fillId="3" borderId="5" xfId="0" applyFill="1" applyBorder="1"/>
    <xf numFmtId="167" fontId="2" fillId="4" borderId="4" xfId="0" applyNumberFormat="1" applyFont="1" applyFill="1" applyBorder="1" applyAlignment="1">
      <alignment horizontal="right"/>
    </xf>
    <xf numFmtId="165" fontId="0" fillId="4" borderId="0" xfId="0" applyNumberFormat="1" applyFill="1" applyBorder="1"/>
    <xf numFmtId="168" fontId="0" fillId="4" borderId="0" xfId="0" applyNumberFormat="1" applyFill="1" applyBorder="1"/>
    <xf numFmtId="0" fontId="0" fillId="4" borderId="5" xfId="0" applyFill="1" applyBorder="1"/>
    <xf numFmtId="167" fontId="2" fillId="4" borderId="6" xfId="0" applyNumberFormat="1" applyFont="1" applyFill="1" applyBorder="1" applyAlignment="1">
      <alignment horizontal="right"/>
    </xf>
    <xf numFmtId="165" fontId="0" fillId="4" borderId="7" xfId="0" applyNumberFormat="1" applyFill="1" applyBorder="1"/>
    <xf numFmtId="168" fontId="0" fillId="4" borderId="7" xfId="0" applyNumberFormat="1" applyFill="1" applyBorder="1"/>
    <xf numFmtId="0" fontId="0" fillId="4" borderId="8" xfId="0" applyFill="1" applyBorder="1"/>
    <xf numFmtId="167" fontId="2" fillId="3" borderId="1" xfId="0" applyNumberFormat="1" applyFont="1" applyFill="1" applyBorder="1" applyAlignment="1">
      <alignment horizontal="right"/>
    </xf>
    <xf numFmtId="165" fontId="0" fillId="3" borderId="2" xfId="0" applyNumberFormat="1" applyFill="1" applyBorder="1"/>
    <xf numFmtId="168" fontId="0" fillId="3" borderId="2" xfId="0" applyNumberFormat="1" applyFill="1" applyBorder="1"/>
    <xf numFmtId="0" fontId="0" fillId="3" borderId="3" xfId="0" applyFill="1" applyBorder="1"/>
    <xf numFmtId="165" fontId="0" fillId="3" borderId="2" xfId="0" applyNumberFormat="1" applyFont="1" applyFill="1" applyBorder="1"/>
    <xf numFmtId="168" fontId="0" fillId="3" borderId="2" xfId="0" applyNumberFormat="1" applyFont="1" applyFill="1" applyBorder="1"/>
    <xf numFmtId="0" fontId="0" fillId="3" borderId="3" xfId="0" applyFont="1" applyFill="1" applyBorder="1"/>
    <xf numFmtId="165" fontId="0" fillId="3" borderId="0" xfId="0" applyNumberFormat="1" applyFont="1" applyFill="1" applyBorder="1"/>
    <xf numFmtId="168" fontId="0" fillId="3" borderId="0" xfId="0" applyNumberFormat="1" applyFont="1" applyFill="1" applyBorder="1"/>
    <xf numFmtId="0" fontId="0" fillId="3" borderId="5" xfId="0" applyFont="1" applyFill="1" applyBorder="1"/>
    <xf numFmtId="169" fontId="0" fillId="6" borderId="0" xfId="0" applyNumberFormat="1" applyFill="1"/>
    <xf numFmtId="168" fontId="4" fillId="3" borderId="0" xfId="0" applyNumberFormat="1" applyFont="1" applyFill="1"/>
    <xf numFmtId="168" fontId="4" fillId="4" borderId="0" xfId="0" applyNumberFormat="1" applyFont="1" applyFill="1"/>
    <xf numFmtId="0" fontId="4" fillId="6" borderId="0" xfId="0" applyFont="1" applyFill="1"/>
    <xf numFmtId="165" fontId="4" fillId="6" borderId="0" xfId="0" applyNumberFormat="1" applyFont="1" applyFill="1"/>
    <xf numFmtId="0" fontId="4" fillId="6" borderId="0" xfId="0" applyFont="1" applyFill="1" applyAlignment="1">
      <alignment horizontal="right"/>
    </xf>
    <xf numFmtId="15" fontId="4" fillId="6" borderId="0" xfId="0" applyNumberFormat="1" applyFont="1" applyFill="1" applyAlignment="1">
      <alignment horizontal="left"/>
    </xf>
    <xf numFmtId="0" fontId="0" fillId="3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right"/>
    </xf>
    <xf numFmtId="165" fontId="2" fillId="3" borderId="2" xfId="0" applyNumberFormat="1" applyFont="1" applyFill="1" applyBorder="1"/>
    <xf numFmtId="0" fontId="0" fillId="3" borderId="2" xfId="0" applyFill="1" applyBorder="1"/>
    <xf numFmtId="0" fontId="0" fillId="3" borderId="6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left"/>
    </xf>
    <xf numFmtId="0" fontId="0" fillId="3" borderId="7" xfId="0" applyFont="1" applyFill="1" applyBorder="1" applyAlignment="1">
      <alignment horizontal="right"/>
    </xf>
    <xf numFmtId="15" fontId="2" fillId="3" borderId="7" xfId="0" applyNumberFormat="1" applyFont="1" applyFill="1" applyBorder="1" applyAlignment="1">
      <alignment horizontal="left"/>
    </xf>
    <xf numFmtId="0" fontId="0" fillId="3" borderId="7" xfId="0" applyFill="1" applyBorder="1"/>
    <xf numFmtId="0" fontId="0" fillId="3" borderId="8" xfId="0" applyFill="1" applyBorder="1"/>
    <xf numFmtId="168" fontId="0" fillId="3" borderId="2" xfId="0" quotePrefix="1" applyNumberFormat="1" applyFont="1" applyFill="1" applyBorder="1"/>
    <xf numFmtId="165" fontId="0" fillId="9" borderId="0" xfId="0" applyNumberFormat="1" applyFill="1"/>
    <xf numFmtId="0" fontId="0" fillId="6" borderId="0" xfId="0" applyFont="1" applyFill="1"/>
    <xf numFmtId="165" fontId="0" fillId="6" borderId="0" xfId="0" applyNumberFormat="1" applyFont="1" applyFill="1"/>
    <xf numFmtId="0" fontId="0" fillId="6" borderId="0" xfId="0" applyFont="1" applyFill="1" applyAlignment="1">
      <alignment horizontal="right"/>
    </xf>
    <xf numFmtId="15" fontId="0" fillId="6" borderId="0" xfId="0" applyNumberFormat="1" applyFont="1" applyFill="1" applyAlignment="1">
      <alignment horizontal="left"/>
    </xf>
    <xf numFmtId="0" fontId="0" fillId="10" borderId="0" xfId="0" applyNumberFormat="1" applyFill="1" applyAlignment="1">
      <alignment horizontal="left"/>
    </xf>
    <xf numFmtId="0" fontId="5" fillId="3" borderId="0" xfId="0" applyNumberFormat="1" applyFont="1" applyFill="1" applyAlignment="1">
      <alignment horizontal="left"/>
    </xf>
    <xf numFmtId="0" fontId="5" fillId="4" borderId="0" xfId="0" applyNumberFormat="1" applyFont="1" applyFill="1" applyAlignment="1">
      <alignment horizontal="left"/>
    </xf>
    <xf numFmtId="15" fontId="0" fillId="2" borderId="0" xfId="0" applyNumberFormat="1" applyFill="1" applyAlignment="1">
      <alignment horizontal="left"/>
    </xf>
    <xf numFmtId="15" fontId="0" fillId="10" borderId="0" xfId="0" applyNumberFormat="1" applyFill="1" applyAlignment="1">
      <alignment horizontal="left"/>
    </xf>
    <xf numFmtId="168" fontId="5" fillId="3" borderId="0" xfId="0" applyNumberFormat="1" applyFont="1" applyFill="1" applyBorder="1"/>
    <xf numFmtId="165" fontId="2" fillId="2" borderId="9" xfId="0" applyNumberFormat="1" applyFont="1" applyFill="1" applyBorder="1"/>
    <xf numFmtId="165" fontId="2" fillId="2" borderId="10" xfId="0" applyNumberFormat="1" applyFont="1" applyFill="1" applyBorder="1"/>
    <xf numFmtId="165" fontId="2" fillId="2" borderId="11" xfId="0" applyNumberFormat="1" applyFont="1" applyFill="1" applyBorder="1"/>
    <xf numFmtId="0" fontId="0" fillId="3" borderId="4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0" fillId="3" borderId="0" xfId="0" applyFont="1" applyFill="1" applyBorder="1" applyAlignment="1">
      <alignment horizontal="right"/>
    </xf>
    <xf numFmtId="15" fontId="2" fillId="3" borderId="0" xfId="0" applyNumberFormat="1" applyFont="1" applyFill="1" applyBorder="1" applyAlignment="1">
      <alignment horizontal="left"/>
    </xf>
    <xf numFmtId="0" fontId="0" fillId="3" borderId="0" xfId="0" applyFill="1" applyBorder="1"/>
    <xf numFmtId="168" fontId="0" fillId="3" borderId="3" xfId="0" applyNumberFormat="1" applyFill="1" applyBorder="1"/>
    <xf numFmtId="168" fontId="0" fillId="4" borderId="5" xfId="0" applyNumberFormat="1" applyFill="1" applyBorder="1"/>
    <xf numFmtId="168" fontId="0" fillId="3" borderId="5" xfId="0" applyNumberFormat="1" applyFill="1" applyBorder="1"/>
    <xf numFmtId="167" fontId="2" fillId="3" borderId="6" xfId="0" applyNumberFormat="1" applyFont="1" applyFill="1" applyBorder="1" applyAlignment="1">
      <alignment horizontal="right"/>
    </xf>
    <xf numFmtId="165" fontId="0" fillId="3" borderId="7" xfId="0" applyNumberFormat="1" applyFill="1" applyBorder="1"/>
    <xf numFmtId="168" fontId="0" fillId="3" borderId="7" xfId="0" applyNumberFormat="1" applyFill="1" applyBorder="1"/>
    <xf numFmtId="168" fontId="0" fillId="3" borderId="8" xfId="0" applyNumberFormat="1" applyFill="1" applyBorder="1"/>
    <xf numFmtId="0" fontId="0" fillId="7" borderId="9" xfId="0" applyFill="1" applyBorder="1"/>
    <xf numFmtId="165" fontId="0" fillId="7" borderId="10" xfId="0" applyNumberFormat="1" applyFill="1" applyBorder="1"/>
    <xf numFmtId="168" fontId="0" fillId="7" borderId="10" xfId="0" applyNumberFormat="1" applyFill="1" applyBorder="1"/>
    <xf numFmtId="168" fontId="0" fillId="7" borderId="11" xfId="0" applyNumberFormat="1" applyFill="1" applyBorder="1"/>
    <xf numFmtId="0" fontId="2" fillId="3" borderId="3" xfId="0" applyFont="1" applyFill="1" applyBorder="1" applyAlignment="1">
      <alignment horizontal="left"/>
    </xf>
    <xf numFmtId="165" fontId="0" fillId="3" borderId="7" xfId="0" applyNumberFormat="1" applyFont="1" applyFill="1" applyBorder="1" applyAlignment="1">
      <alignment horizontal="right"/>
    </xf>
    <xf numFmtId="168" fontId="2" fillId="3" borderId="8" xfId="0" applyNumberFormat="1" applyFont="1" applyFill="1" applyBorder="1" applyAlignment="1">
      <alignment horizontal="left"/>
    </xf>
    <xf numFmtId="165" fontId="2" fillId="7" borderId="4" xfId="0" applyNumberFormat="1" applyFont="1" applyFill="1" applyBorder="1"/>
    <xf numFmtId="165" fontId="2" fillId="7" borderId="0" xfId="0" applyNumberFormat="1" applyFont="1" applyFill="1" applyBorder="1"/>
    <xf numFmtId="165" fontId="2" fillId="7" borderId="5" xfId="0" applyNumberFormat="1" applyFont="1" applyFill="1" applyBorder="1"/>
    <xf numFmtId="165" fontId="0" fillId="3" borderId="7" xfId="0" applyNumberFormat="1" applyFont="1" applyFill="1" applyBorder="1" applyAlignment="1"/>
    <xf numFmtId="168" fontId="2" fillId="3" borderId="8" xfId="0" applyNumberFormat="1" applyFont="1" applyFill="1" applyBorder="1" applyAlignment="1">
      <alignment horizontal="left" vertical="center"/>
    </xf>
    <xf numFmtId="0" fontId="0" fillId="7" borderId="6" xfId="0" applyFill="1" applyBorder="1"/>
    <xf numFmtId="165" fontId="0" fillId="7" borderId="7" xfId="0" applyNumberFormat="1" applyFill="1" applyBorder="1"/>
    <xf numFmtId="168" fontId="0" fillId="7" borderId="7" xfId="0" applyNumberFormat="1" applyFill="1" applyBorder="1"/>
    <xf numFmtId="168" fontId="0" fillId="7" borderId="8" xfId="0" applyNumberFormat="1" applyFill="1" applyBorder="1"/>
    <xf numFmtId="168" fontId="0" fillId="4" borderId="8" xfId="0" applyNumberFormat="1" applyFill="1" applyBorder="1"/>
    <xf numFmtId="168" fontId="4" fillId="3" borderId="0" xfId="0" applyNumberFormat="1" applyFont="1" applyFill="1" applyBorder="1"/>
    <xf numFmtId="168" fontId="4" fillId="4" borderId="0" xfId="0" applyNumberFormat="1" applyFont="1" applyFill="1" applyBorder="1"/>
    <xf numFmtId="0" fontId="0" fillId="2" borderId="4" xfId="0" applyFill="1" applyBorder="1"/>
    <xf numFmtId="165" fontId="0" fillId="2" borderId="0" xfId="0" applyNumberFormat="1" applyFill="1" applyBorder="1"/>
    <xf numFmtId="168" fontId="0" fillId="2" borderId="0" xfId="0" applyNumberFormat="1" applyFill="1" applyBorder="1"/>
    <xf numFmtId="168" fontId="0" fillId="2" borderId="5" xfId="0" applyNumberFormat="1" applyFill="1" applyBorder="1"/>
    <xf numFmtId="165" fontId="0" fillId="2" borderId="5" xfId="0" applyNumberFormat="1" applyFill="1" applyBorder="1"/>
    <xf numFmtId="0" fontId="0" fillId="5" borderId="6" xfId="0" applyFont="1" applyFill="1" applyBorder="1"/>
    <xf numFmtId="165" fontId="0" fillId="5" borderId="7" xfId="0" applyNumberFormat="1" applyFont="1" applyFill="1" applyBorder="1"/>
    <xf numFmtId="0" fontId="0" fillId="5" borderId="7" xfId="0" applyFont="1" applyFill="1" applyBorder="1" applyAlignment="1">
      <alignment horizontal="right"/>
    </xf>
    <xf numFmtId="15" fontId="0" fillId="5" borderId="7" xfId="0" applyNumberFormat="1" applyFont="1" applyFill="1" applyBorder="1" applyAlignment="1">
      <alignment horizontal="left"/>
    </xf>
    <xf numFmtId="0" fontId="0" fillId="5" borderId="7" xfId="0" applyFill="1" applyBorder="1"/>
    <xf numFmtId="0" fontId="0" fillId="5" borderId="8" xfId="0" applyFill="1" applyBorder="1"/>
    <xf numFmtId="0" fontId="4" fillId="5" borderId="1" xfId="0" applyFont="1" applyFill="1" applyBorder="1"/>
    <xf numFmtId="165" fontId="4" fillId="5" borderId="2" xfId="0" applyNumberFormat="1" applyFont="1" applyFill="1" applyBorder="1"/>
    <xf numFmtId="0" fontId="4" fillId="5" borderId="2" xfId="0" applyFont="1" applyFill="1" applyBorder="1" applyAlignment="1">
      <alignment horizontal="right"/>
    </xf>
    <xf numFmtId="15" fontId="4" fillId="5" borderId="2" xfId="0" applyNumberFormat="1" applyFont="1" applyFill="1" applyBorder="1" applyAlignment="1">
      <alignment horizontal="left"/>
    </xf>
    <xf numFmtId="0" fontId="0" fillId="5" borderId="2" xfId="0" applyFill="1" applyBorder="1"/>
    <xf numFmtId="0" fontId="0" fillId="5" borderId="3" xfId="0" applyFill="1" applyBorder="1"/>
    <xf numFmtId="0" fontId="0" fillId="5" borderId="4" xfId="0" applyFont="1" applyFill="1" applyBorder="1"/>
    <xf numFmtId="165" fontId="0" fillId="5" borderId="0" xfId="0" applyNumberFormat="1" applyFont="1" applyFill="1" applyBorder="1"/>
    <xf numFmtId="0" fontId="0" fillId="5" borderId="0" xfId="0" applyFont="1" applyFill="1" applyBorder="1" applyAlignment="1">
      <alignment horizontal="right"/>
    </xf>
    <xf numFmtId="15" fontId="0" fillId="5" borderId="0" xfId="0" applyNumberFormat="1" applyFont="1" applyFill="1" applyBorder="1" applyAlignment="1">
      <alignment horizontal="left"/>
    </xf>
    <xf numFmtId="0" fontId="0" fillId="5" borderId="0" xfId="0" applyFill="1" applyBorder="1"/>
    <xf numFmtId="0" fontId="0" fillId="5" borderId="5" xfId="0" applyFill="1" applyBorder="1"/>
    <xf numFmtId="165" fontId="2" fillId="2" borderId="1" xfId="0" applyNumberFormat="1" applyFont="1" applyFill="1" applyBorder="1"/>
    <xf numFmtId="165" fontId="2" fillId="2" borderId="2" xfId="0" applyNumberFormat="1" applyFont="1" applyFill="1" applyBorder="1"/>
    <xf numFmtId="165" fontId="2" fillId="2" borderId="3" xfId="0" applyNumberFormat="1" applyFont="1" applyFill="1" applyBorder="1"/>
    <xf numFmtId="0" fontId="0" fillId="5" borderId="4" xfId="0" applyFill="1" applyBorder="1"/>
    <xf numFmtId="165" fontId="0" fillId="5" borderId="0" xfId="0" applyNumberFormat="1" applyFill="1" applyBorder="1"/>
    <xf numFmtId="0" fontId="0" fillId="5" borderId="0" xfId="0" applyFill="1" applyBorder="1" applyAlignment="1">
      <alignment horizontal="right"/>
    </xf>
    <xf numFmtId="15" fontId="0" fillId="5" borderId="0" xfId="0" applyNumberFormat="1" applyFill="1" applyBorder="1" applyAlignment="1">
      <alignment horizontal="left"/>
    </xf>
    <xf numFmtId="0" fontId="0" fillId="5" borderId="1" xfId="0" applyFill="1" applyBorder="1"/>
    <xf numFmtId="165" fontId="0" fillId="5" borderId="2" xfId="0" applyNumberFormat="1" applyFill="1" applyBorder="1"/>
    <xf numFmtId="0" fontId="0" fillId="5" borderId="2" xfId="0" applyFill="1" applyBorder="1" applyAlignment="1">
      <alignment horizontal="right"/>
    </xf>
    <xf numFmtId="15" fontId="0" fillId="5" borderId="2" xfId="0" applyNumberFormat="1" applyFill="1" applyBorder="1" applyAlignment="1">
      <alignment horizontal="left"/>
    </xf>
    <xf numFmtId="165" fontId="2" fillId="2" borderId="4" xfId="0" applyNumberFormat="1" applyFont="1" applyFill="1" applyBorder="1"/>
    <xf numFmtId="165" fontId="2" fillId="2" borderId="0" xfId="0" applyNumberFormat="1" applyFont="1" applyFill="1" applyBorder="1"/>
    <xf numFmtId="165" fontId="2" fillId="2" borderId="5" xfId="0" applyNumberFormat="1" applyFont="1" applyFill="1" applyBorder="1"/>
    <xf numFmtId="0" fontId="0" fillId="5" borderId="6" xfId="0" applyFill="1" applyBorder="1"/>
    <xf numFmtId="165" fontId="0" fillId="5" borderId="7" xfId="0" applyNumberFormat="1" applyFill="1" applyBorder="1"/>
    <xf numFmtId="168" fontId="0" fillId="5" borderId="7" xfId="0" applyNumberFormat="1" applyFill="1" applyBorder="1"/>
    <xf numFmtId="168" fontId="2" fillId="5" borderId="8" xfId="0" applyNumberFormat="1" applyFont="1" applyFill="1" applyBorder="1"/>
    <xf numFmtId="168" fontId="0" fillId="3" borderId="0" xfId="0" quotePrefix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 zeghlache" id="{E0549BD9-928F-B642-8757-06F3D2D27E07}" userId="de6845993ae05481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8" dT="2025-09-21T07:03:56.61" personId="{E0549BD9-928F-B642-8757-06F3D2D27E07}" id="{1986DC87-DAA1-304D-A777-FE86BEA81A62}">
    <text>Rent+Deposit</text>
  </threadedComment>
  <threadedComment ref="B29" dT="2025-10-21T05:11:24.69" personId="{E0549BD9-928F-B642-8757-06F3D2D27E07}" id="{71F7F079-AA97-B447-AD30-A9F56FCB6BE8}">
    <text>Refunded deposit - 40BHD repairs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5-02-24T05:37:12.09" personId="{E0549BD9-928F-B642-8757-06F3D2D27E07}" id="{D087A414-FD65-6149-A75B-736C76E0D42B}">
    <text>Prorated rent 28-jan to 8-feb</text>
  </threadedComment>
  <threadedComment ref="B6" dT="2025-02-24T05:36:33.90" personId="{E0549BD9-928F-B642-8757-06F3D2D27E07}" id="{E83F82F3-9181-2A4E-870A-864EEFA7F243}">
    <text>Security deposit</text>
  </threadedComment>
  <threadedComment ref="B7" dT="2025-02-24T05:38:01.16" personId="{E0549BD9-928F-B642-8757-06F3D2D27E07}" id="{69AE9ED8-120A-C546-9473-45724A7FD01E}">
    <text>Tenant transfer missing 10BHD.</text>
  </threadedComment>
  <threadedComment ref="B8" dT="2025-03-06T11:37:45.52" personId="{E0549BD9-928F-B642-8757-06F3D2D27E07}" id="{E2B01DF0-CF39-8141-B0EC-74FB649C6C8E}">
    <text>Rent +10 BHD balance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8D93-56D1-4377-8AC0-9CF96CCCA15A}">
  <dimension ref="A1:AB22"/>
  <sheetViews>
    <sheetView workbookViewId="0">
      <pane xSplit="3" topLeftCell="D1" activePane="topRight" state="frozen"/>
      <selection activeCell="A5" sqref="A5"/>
      <selection pane="topRight" activeCell="V29" sqref="V29"/>
    </sheetView>
  </sheetViews>
  <sheetFormatPr defaultRowHeight="15" x14ac:dyDescent="0.2"/>
  <cols>
    <col min="2" max="2" width="8.609375" style="1"/>
    <col min="3" max="3" width="9.55078125" bestFit="1" customWidth="1"/>
    <col min="5" max="5" width="10.35546875" customWidth="1"/>
    <col min="7" max="7" width="9.01171875" customWidth="1"/>
    <col min="8" max="8" width="7.12890625" customWidth="1"/>
    <col min="9" max="9" width="9.81640625" bestFit="1" customWidth="1"/>
    <col min="10" max="10" width="9.55078125" customWidth="1"/>
    <col min="11" max="11" width="11.56640625" bestFit="1" customWidth="1"/>
    <col min="12" max="12" width="10.22265625" bestFit="1" customWidth="1"/>
    <col min="13" max="13" width="13.71875" bestFit="1" customWidth="1"/>
    <col min="14" max="14" width="10.89453125" bestFit="1" customWidth="1"/>
    <col min="15" max="15" width="11.1640625" bestFit="1" customWidth="1"/>
    <col min="16" max="16" width="11.97265625" bestFit="1" customWidth="1"/>
    <col min="17" max="17" width="10.35546875" customWidth="1"/>
    <col min="18" max="18" width="12.64453125" bestFit="1" customWidth="1"/>
    <col min="19" max="19" width="12.64453125" customWidth="1"/>
    <col min="20" max="20" width="11.8359375" customWidth="1"/>
    <col min="21" max="21" width="11.1640625" bestFit="1" customWidth="1"/>
    <col min="22" max="22" width="12.23828125" bestFit="1" customWidth="1"/>
    <col min="23" max="23" width="11.1640625" bestFit="1" customWidth="1"/>
    <col min="24" max="24" width="15.73828125" bestFit="1" customWidth="1"/>
    <col min="25" max="25" width="15.19921875" customWidth="1"/>
    <col min="26" max="27" width="14.2578125" bestFit="1" customWidth="1"/>
  </cols>
  <sheetData>
    <row r="1" spans="1:28" x14ac:dyDescent="0.2">
      <c r="A1" s="33" t="s">
        <v>114</v>
      </c>
      <c r="B1" s="42" t="s">
        <v>0</v>
      </c>
      <c r="C1" s="33" t="s">
        <v>28</v>
      </c>
      <c r="D1" s="33" t="s">
        <v>41</v>
      </c>
      <c r="E1" s="33" t="s">
        <v>45</v>
      </c>
      <c r="F1" s="33" t="s">
        <v>48</v>
      </c>
      <c r="G1" s="33" t="s">
        <v>52</v>
      </c>
      <c r="H1" s="33" t="s">
        <v>48</v>
      </c>
      <c r="I1" s="33" t="s">
        <v>34</v>
      </c>
      <c r="J1" s="33" t="s">
        <v>38</v>
      </c>
      <c r="K1" s="33" t="s">
        <v>29</v>
      </c>
      <c r="L1" s="33" t="s">
        <v>30</v>
      </c>
      <c r="M1" s="33" t="s">
        <v>32</v>
      </c>
      <c r="N1" s="33" t="s">
        <v>72</v>
      </c>
      <c r="O1" s="33" t="s">
        <v>27</v>
      </c>
      <c r="P1" s="33" t="s">
        <v>54</v>
      </c>
      <c r="Q1" s="33" t="s">
        <v>55</v>
      </c>
      <c r="R1" s="33" t="s">
        <v>53</v>
      </c>
      <c r="S1" s="33" t="s">
        <v>112</v>
      </c>
      <c r="T1" s="33" t="s">
        <v>35</v>
      </c>
      <c r="U1" s="33" t="s">
        <v>39</v>
      </c>
      <c r="V1" s="33" t="s">
        <v>1</v>
      </c>
      <c r="W1" s="33" t="s">
        <v>4</v>
      </c>
      <c r="X1" s="33" t="s">
        <v>12</v>
      </c>
      <c r="Y1" s="33" t="s">
        <v>14</v>
      </c>
      <c r="Z1" s="33" t="s">
        <v>5</v>
      </c>
      <c r="AA1" s="33" t="s">
        <v>11</v>
      </c>
      <c r="AB1" s="33" t="s">
        <v>15</v>
      </c>
    </row>
    <row r="2" spans="1:28" x14ac:dyDescent="0.2">
      <c r="A2" s="6">
        <v>1</v>
      </c>
      <c r="B2" s="15" t="s">
        <v>6</v>
      </c>
      <c r="C2" s="6" t="s">
        <v>143</v>
      </c>
      <c r="D2" s="6" t="s">
        <v>42</v>
      </c>
      <c r="E2" s="6" t="s">
        <v>46</v>
      </c>
      <c r="F2" s="6" t="s">
        <v>49</v>
      </c>
      <c r="G2" s="6" t="s">
        <v>66</v>
      </c>
      <c r="H2" s="6">
        <v>3331</v>
      </c>
      <c r="I2" s="6" t="s">
        <v>59</v>
      </c>
      <c r="J2" s="6" t="s">
        <v>60</v>
      </c>
      <c r="K2" s="16">
        <v>45748</v>
      </c>
      <c r="L2" s="16">
        <v>46112</v>
      </c>
      <c r="M2" s="7">
        <v>350</v>
      </c>
      <c r="N2" s="6">
        <v>1100253895</v>
      </c>
      <c r="O2" s="7">
        <v>15</v>
      </c>
      <c r="P2" s="7">
        <v>6</v>
      </c>
      <c r="Q2" s="7" t="s">
        <v>49</v>
      </c>
      <c r="R2" s="44"/>
      <c r="S2" s="99">
        <v>45967</v>
      </c>
      <c r="T2" s="7" t="s">
        <v>40</v>
      </c>
      <c r="U2" s="7">
        <v>0</v>
      </c>
      <c r="V2" s="7">
        <f>44*0.5*1.1</f>
        <v>24.200000000000003</v>
      </c>
      <c r="W2" s="7"/>
      <c r="X2" s="7">
        <v>40000</v>
      </c>
      <c r="Y2" s="7">
        <v>53000</v>
      </c>
      <c r="Z2" s="7">
        <f>M2-O2-P2-U2-V2</f>
        <v>304.8</v>
      </c>
      <c r="AA2" s="36">
        <f>Z2*2.65</f>
        <v>807.72</v>
      </c>
      <c r="AB2" s="37">
        <f>Z2*12/X2</f>
        <v>9.1440000000000007E-2</v>
      </c>
    </row>
    <row r="3" spans="1:28" x14ac:dyDescent="0.2">
      <c r="A3" s="11">
        <v>2</v>
      </c>
      <c r="B3" s="43" t="s">
        <v>7</v>
      </c>
      <c r="C3" s="11"/>
      <c r="D3" s="11" t="s">
        <v>42</v>
      </c>
      <c r="E3" s="11" t="s">
        <v>46</v>
      </c>
      <c r="F3" s="11" t="s">
        <v>49</v>
      </c>
      <c r="G3" s="11" t="s">
        <v>68</v>
      </c>
      <c r="H3" s="11">
        <v>3331</v>
      </c>
      <c r="I3" s="11" t="s">
        <v>73</v>
      </c>
      <c r="J3" s="11" t="s">
        <v>78</v>
      </c>
      <c r="K3" s="38">
        <v>45597</v>
      </c>
      <c r="L3" s="38">
        <v>45961</v>
      </c>
      <c r="M3" s="9">
        <v>350</v>
      </c>
      <c r="N3" s="11">
        <v>1100297355</v>
      </c>
      <c r="O3" s="9">
        <v>15</v>
      </c>
      <c r="P3" s="9">
        <v>6</v>
      </c>
      <c r="Q3" s="9" t="s">
        <v>49</v>
      </c>
      <c r="R3" s="45"/>
      <c r="S3" s="99">
        <v>45963</v>
      </c>
      <c r="T3" s="9" t="s">
        <v>40</v>
      </c>
      <c r="U3" s="9">
        <v>0</v>
      </c>
      <c r="V3" s="9">
        <f>44*0.5*1.1</f>
        <v>24.200000000000003</v>
      </c>
      <c r="W3" s="9"/>
      <c r="X3" s="9">
        <v>40000</v>
      </c>
      <c r="Y3" s="9">
        <v>53000</v>
      </c>
      <c r="Z3" s="9">
        <f>M3-O3-P3-U3-V3</f>
        <v>304.8</v>
      </c>
      <c r="AA3" s="40">
        <f>Z3*2.65</f>
        <v>807.72</v>
      </c>
      <c r="AB3" s="41">
        <f>Z3*12/X3</f>
        <v>9.1440000000000007E-2</v>
      </c>
    </row>
    <row r="4" spans="1:28" x14ac:dyDescent="0.2">
      <c r="A4" s="6">
        <v>3</v>
      </c>
      <c r="B4" s="15" t="s">
        <v>16</v>
      </c>
      <c r="C4" s="6" t="s">
        <v>26</v>
      </c>
      <c r="D4" s="6" t="s">
        <v>44</v>
      </c>
      <c r="E4" s="6" t="s">
        <v>46</v>
      </c>
      <c r="F4" s="6" t="s">
        <v>49</v>
      </c>
      <c r="G4" s="6" t="s">
        <v>70</v>
      </c>
      <c r="H4" s="6">
        <v>3329</v>
      </c>
      <c r="I4" s="6" t="s">
        <v>87</v>
      </c>
      <c r="J4" s="6" t="s">
        <v>86</v>
      </c>
      <c r="K4" s="16">
        <v>45210</v>
      </c>
      <c r="L4" s="16">
        <v>46305</v>
      </c>
      <c r="M4" s="7">
        <v>500</v>
      </c>
      <c r="N4" s="6">
        <v>1100318912</v>
      </c>
      <c r="O4" s="7">
        <v>20</v>
      </c>
      <c r="P4" s="7">
        <v>6</v>
      </c>
      <c r="Q4" s="7" t="s">
        <v>49</v>
      </c>
      <c r="R4" s="44"/>
      <c r="S4" s="99">
        <v>46021</v>
      </c>
      <c r="T4" s="7" t="s">
        <v>40</v>
      </c>
      <c r="U4" s="7">
        <v>0</v>
      </c>
      <c r="V4" s="7">
        <f>68*0.8*1.1</f>
        <v>59.840000000000011</v>
      </c>
      <c r="W4" s="7"/>
      <c r="X4" s="7">
        <v>70000</v>
      </c>
      <c r="Y4" s="7">
        <v>75000</v>
      </c>
      <c r="Z4" s="7">
        <f>M4-O4-P4-U4-V4</f>
        <v>414.15999999999997</v>
      </c>
      <c r="AA4" s="36">
        <f>Z4*2.65</f>
        <v>1097.5239999999999</v>
      </c>
      <c r="AB4" s="37">
        <f>Z4*12/X4</f>
        <v>7.0998857142857141E-2</v>
      </c>
    </row>
    <row r="5" spans="1:28" x14ac:dyDescent="0.2">
      <c r="A5" s="11">
        <v>4</v>
      </c>
      <c r="B5" s="43" t="s">
        <v>8</v>
      </c>
      <c r="C5" s="11" t="s">
        <v>90</v>
      </c>
      <c r="D5" s="11" t="s">
        <v>42</v>
      </c>
      <c r="E5" s="11" t="s">
        <v>46</v>
      </c>
      <c r="F5" s="11" t="s">
        <v>49</v>
      </c>
      <c r="G5" s="11" t="s">
        <v>65</v>
      </c>
      <c r="H5" s="11">
        <v>3329</v>
      </c>
      <c r="I5" s="11">
        <v>560490705</v>
      </c>
      <c r="J5" s="11" t="s">
        <v>89</v>
      </c>
      <c r="K5" s="38">
        <v>45532</v>
      </c>
      <c r="L5" s="38">
        <v>45896</v>
      </c>
      <c r="M5" s="9">
        <v>350</v>
      </c>
      <c r="N5" s="11">
        <v>1100119864</v>
      </c>
      <c r="O5" s="9">
        <v>15</v>
      </c>
      <c r="P5" s="9">
        <v>6</v>
      </c>
      <c r="Q5" s="9" t="s">
        <v>49</v>
      </c>
      <c r="R5" s="45"/>
      <c r="S5" s="99">
        <v>45964</v>
      </c>
      <c r="T5" s="9" t="s">
        <v>40</v>
      </c>
      <c r="U5" s="9">
        <v>0</v>
      </c>
      <c r="V5" s="9">
        <f>44*0.5*1.1</f>
        <v>24.200000000000003</v>
      </c>
      <c r="W5" s="9"/>
      <c r="X5" s="9">
        <v>37500</v>
      </c>
      <c r="Y5" s="9">
        <v>50000</v>
      </c>
      <c r="Z5" s="9">
        <f>M5-O5-P5-U5-V5</f>
        <v>304.8</v>
      </c>
      <c r="AA5" s="40">
        <f>Z5*2.65</f>
        <v>807.72</v>
      </c>
      <c r="AB5" s="41">
        <f>Z5*12/X5</f>
        <v>9.7536000000000012E-2</v>
      </c>
    </row>
    <row r="6" spans="1:28" x14ac:dyDescent="0.2">
      <c r="A6" s="6">
        <v>5</v>
      </c>
      <c r="B6" s="15" t="s">
        <v>17</v>
      </c>
      <c r="C6" s="6" t="s">
        <v>158</v>
      </c>
      <c r="D6" s="6" t="s">
        <v>25</v>
      </c>
      <c r="E6" s="6" t="s">
        <v>46</v>
      </c>
      <c r="F6" s="6" t="s">
        <v>49</v>
      </c>
      <c r="G6" s="6" t="s">
        <v>71</v>
      </c>
      <c r="H6" s="6">
        <v>3329</v>
      </c>
      <c r="I6" s="6">
        <v>552427972</v>
      </c>
      <c r="J6" s="6" t="s">
        <v>88</v>
      </c>
      <c r="K6" s="16">
        <v>45918</v>
      </c>
      <c r="L6" s="16">
        <v>46282</v>
      </c>
      <c r="M6" s="7">
        <v>540</v>
      </c>
      <c r="N6" s="6">
        <v>1100331105</v>
      </c>
      <c r="O6" s="7">
        <v>25</v>
      </c>
      <c r="P6" s="7">
        <v>16.18</v>
      </c>
      <c r="Q6" s="7" t="s">
        <v>56</v>
      </c>
      <c r="R6" s="44">
        <v>17406284</v>
      </c>
      <c r="S6" s="16">
        <v>45776</v>
      </c>
      <c r="T6" s="7" t="s">
        <v>40</v>
      </c>
      <c r="U6" s="7">
        <v>0</v>
      </c>
      <c r="V6" s="7">
        <f>68*0.8*1.1</f>
        <v>59.840000000000011</v>
      </c>
      <c r="W6" s="7">
        <f>5%*M6</f>
        <v>27</v>
      </c>
      <c r="X6" s="7">
        <v>73000</v>
      </c>
      <c r="Y6" s="7">
        <v>78000</v>
      </c>
      <c r="Z6" s="7">
        <f>M6-O6-P6-U6-V6</f>
        <v>438.97999999999996</v>
      </c>
      <c r="AA6" s="36">
        <f>Z6*2.65</f>
        <v>1163.2969999999998</v>
      </c>
      <c r="AB6" s="37">
        <f>Z6*12/X6</f>
        <v>7.2161095890410948E-2</v>
      </c>
    </row>
    <row r="7" spans="1:28" x14ac:dyDescent="0.2">
      <c r="A7" s="11">
        <v>6</v>
      </c>
      <c r="B7" s="43" t="s">
        <v>9</v>
      </c>
      <c r="C7" s="11" t="s">
        <v>23</v>
      </c>
      <c r="D7" s="11" t="s">
        <v>42</v>
      </c>
      <c r="E7" s="11" t="s">
        <v>46</v>
      </c>
      <c r="F7" s="11" t="s">
        <v>49</v>
      </c>
      <c r="G7" s="11" t="s">
        <v>69</v>
      </c>
      <c r="H7" s="11">
        <v>3329</v>
      </c>
      <c r="I7" s="11" t="s">
        <v>75</v>
      </c>
      <c r="J7" s="11" t="s">
        <v>76</v>
      </c>
      <c r="K7" s="38">
        <v>45017</v>
      </c>
      <c r="L7" s="38">
        <v>46112</v>
      </c>
      <c r="M7" s="9">
        <v>480</v>
      </c>
      <c r="N7" s="11">
        <v>1100297470</v>
      </c>
      <c r="O7" s="9">
        <v>30</v>
      </c>
      <c r="P7" s="9">
        <v>0</v>
      </c>
      <c r="Q7" s="9"/>
      <c r="R7" s="45"/>
      <c r="S7" s="45"/>
      <c r="T7" s="9" t="s">
        <v>40</v>
      </c>
      <c r="U7" s="9">
        <v>0</v>
      </c>
      <c r="V7" s="9">
        <f>68*0.5*1.1</f>
        <v>37.400000000000006</v>
      </c>
      <c r="W7" s="9"/>
      <c r="X7" s="9">
        <v>73000</v>
      </c>
      <c r="Y7" s="9">
        <v>78000</v>
      </c>
      <c r="Z7" s="9">
        <f>M7-O7-P7-U7-V7</f>
        <v>412.6</v>
      </c>
      <c r="AA7" s="40">
        <f>Z7*2.65</f>
        <v>1093.3900000000001</v>
      </c>
      <c r="AB7" s="41">
        <f>Z7*12/X7</f>
        <v>6.7824657534246588E-2</v>
      </c>
    </row>
    <row r="8" spans="1:28" x14ac:dyDescent="0.2">
      <c r="A8" s="6">
        <v>7</v>
      </c>
      <c r="B8" s="15" t="s">
        <v>10</v>
      </c>
      <c r="C8" s="6" t="s">
        <v>152</v>
      </c>
      <c r="D8" s="6" t="s">
        <v>42</v>
      </c>
      <c r="E8" s="6" t="s">
        <v>46</v>
      </c>
      <c r="F8" s="6" t="s">
        <v>49</v>
      </c>
      <c r="G8" s="6" t="s">
        <v>67</v>
      </c>
      <c r="H8" s="6">
        <v>3329</v>
      </c>
      <c r="I8" s="6" t="s">
        <v>77</v>
      </c>
      <c r="J8" s="6" t="s">
        <v>74</v>
      </c>
      <c r="K8" s="16">
        <v>45862</v>
      </c>
      <c r="L8" s="16">
        <v>46226</v>
      </c>
      <c r="M8" s="7">
        <v>560</v>
      </c>
      <c r="N8" s="6">
        <v>1100290012</v>
      </c>
      <c r="O8" s="7">
        <v>20</v>
      </c>
      <c r="P8" s="7">
        <v>6</v>
      </c>
      <c r="Q8" s="7" t="s">
        <v>49</v>
      </c>
      <c r="R8" s="44"/>
      <c r="S8" s="99">
        <v>46117</v>
      </c>
      <c r="T8" s="7" t="s">
        <v>40</v>
      </c>
      <c r="U8" s="7">
        <v>0</v>
      </c>
      <c r="V8" s="7">
        <f>68*0.5*1.1</f>
        <v>37.400000000000006</v>
      </c>
      <c r="W8" s="7"/>
      <c r="X8" s="7">
        <v>75000</v>
      </c>
      <c r="Y8" s="7">
        <v>79000</v>
      </c>
      <c r="Z8" s="7">
        <f>M8-O8-P8-U8-V8</f>
        <v>496.6</v>
      </c>
      <c r="AA8" s="36">
        <f>Z8*2.65</f>
        <v>1315.99</v>
      </c>
      <c r="AB8" s="37">
        <f>Z8*12/X8</f>
        <v>7.9456000000000013E-2</v>
      </c>
    </row>
    <row r="9" spans="1:28" x14ac:dyDescent="0.2">
      <c r="A9" s="11">
        <v>8</v>
      </c>
      <c r="B9" s="43">
        <v>1206</v>
      </c>
      <c r="C9" s="11" t="s">
        <v>13</v>
      </c>
      <c r="D9" s="11" t="s">
        <v>42</v>
      </c>
      <c r="E9" s="11" t="s">
        <v>46</v>
      </c>
      <c r="F9" s="11" t="s">
        <v>50</v>
      </c>
      <c r="G9" s="11" t="s">
        <v>61</v>
      </c>
      <c r="H9" s="11">
        <v>3332</v>
      </c>
      <c r="I9" s="11" t="s">
        <v>80</v>
      </c>
      <c r="J9" s="11" t="s">
        <v>79</v>
      </c>
      <c r="K9" s="38">
        <v>44866</v>
      </c>
      <c r="L9" s="38">
        <v>46326</v>
      </c>
      <c r="M9" s="9">
        <v>500</v>
      </c>
      <c r="N9" s="11">
        <v>1041898808</v>
      </c>
      <c r="O9" s="9">
        <v>20</v>
      </c>
      <c r="P9" s="9">
        <v>16.18</v>
      </c>
      <c r="Q9" s="9" t="s">
        <v>56</v>
      </c>
      <c r="R9" s="96">
        <v>17490076</v>
      </c>
      <c r="S9" s="100">
        <v>46498</v>
      </c>
      <c r="T9" s="9" t="s">
        <v>57</v>
      </c>
      <c r="U9" s="9">
        <v>33</v>
      </c>
      <c r="V9" s="9">
        <f>68*0.8*1.1</f>
        <v>59.840000000000011</v>
      </c>
      <c r="W9" s="9"/>
      <c r="X9" s="9">
        <v>65000</v>
      </c>
      <c r="Y9" s="9">
        <v>75000</v>
      </c>
      <c r="Z9" s="9">
        <f>M9-O9-P9-U9-V9</f>
        <v>370.97999999999996</v>
      </c>
      <c r="AA9" s="40">
        <f>Z9*2.65</f>
        <v>983.09699999999987</v>
      </c>
      <c r="AB9" s="41">
        <f>Z9*12/X9</f>
        <v>6.848861538461537E-2</v>
      </c>
    </row>
    <row r="10" spans="1:28" x14ac:dyDescent="0.2">
      <c r="A10" s="6">
        <v>9</v>
      </c>
      <c r="B10" s="15">
        <v>1306</v>
      </c>
      <c r="C10" s="6" t="s">
        <v>36</v>
      </c>
      <c r="D10" s="6" t="s">
        <v>43</v>
      </c>
      <c r="E10" s="6" t="s">
        <v>46</v>
      </c>
      <c r="F10" s="6" t="s">
        <v>50</v>
      </c>
      <c r="G10" s="6" t="s">
        <v>63</v>
      </c>
      <c r="H10" s="6">
        <v>3332</v>
      </c>
      <c r="I10" s="6" t="s">
        <v>37</v>
      </c>
      <c r="J10" s="6" t="s">
        <v>122</v>
      </c>
      <c r="K10" s="16">
        <v>45413</v>
      </c>
      <c r="L10" s="16">
        <v>46142</v>
      </c>
      <c r="M10" s="7">
        <v>500</v>
      </c>
      <c r="N10" s="6">
        <v>1100872009</v>
      </c>
      <c r="O10" s="7">
        <v>25</v>
      </c>
      <c r="P10" s="7">
        <v>14.5</v>
      </c>
      <c r="Q10" s="7" t="s">
        <v>50</v>
      </c>
      <c r="R10" s="97">
        <v>17540587</v>
      </c>
      <c r="S10" s="16"/>
      <c r="T10" s="7" t="s">
        <v>58</v>
      </c>
      <c r="U10" s="7">
        <v>19.8</v>
      </c>
      <c r="V10" s="7">
        <f>68*0.8*1.1</f>
        <v>59.840000000000011</v>
      </c>
      <c r="W10" s="7"/>
      <c r="X10" s="7">
        <v>76000</v>
      </c>
      <c r="Y10" s="7">
        <v>77000</v>
      </c>
      <c r="Z10" s="7">
        <f>M10-O10-P10-U10-V10</f>
        <v>380.85999999999996</v>
      </c>
      <c r="AA10" s="36">
        <f>Z10*2.65</f>
        <v>1009.2789999999999</v>
      </c>
      <c r="AB10" s="37">
        <f>Z10*12/X10</f>
        <v>6.0135789473684205E-2</v>
      </c>
    </row>
    <row r="11" spans="1:28" x14ac:dyDescent="0.2">
      <c r="A11" s="11">
        <v>10</v>
      </c>
      <c r="B11" s="43">
        <v>1405</v>
      </c>
      <c r="C11" s="11" t="s">
        <v>111</v>
      </c>
      <c r="D11" s="11" t="s">
        <v>42</v>
      </c>
      <c r="E11" s="11" t="s">
        <v>46</v>
      </c>
      <c r="F11" s="11" t="s">
        <v>50</v>
      </c>
      <c r="G11" s="11" t="s">
        <v>106</v>
      </c>
      <c r="H11" s="11">
        <v>3332</v>
      </c>
      <c r="I11" s="11">
        <v>509666527</v>
      </c>
      <c r="J11" s="11" t="s">
        <v>109</v>
      </c>
      <c r="K11" s="38">
        <v>45566</v>
      </c>
      <c r="L11" s="38">
        <v>46295</v>
      </c>
      <c r="M11" s="9">
        <v>525</v>
      </c>
      <c r="N11" s="11">
        <v>1101561510</v>
      </c>
      <c r="O11" s="9">
        <v>25</v>
      </c>
      <c r="P11" s="9">
        <v>14.5</v>
      </c>
      <c r="Q11" s="9" t="s">
        <v>50</v>
      </c>
      <c r="R11" s="98">
        <v>17262893</v>
      </c>
      <c r="S11" s="45"/>
      <c r="T11" s="9" t="s">
        <v>57</v>
      </c>
      <c r="U11" s="9">
        <v>33</v>
      </c>
      <c r="V11" s="9">
        <f>68*0.8*1.1</f>
        <v>59.840000000000011</v>
      </c>
      <c r="W11" s="9"/>
      <c r="X11" s="9">
        <v>75000</v>
      </c>
      <c r="Y11" s="9">
        <v>75000</v>
      </c>
      <c r="Z11" s="9">
        <f>M11-O11-P11-U11-V11</f>
        <v>392.65999999999997</v>
      </c>
      <c r="AA11" s="40">
        <f>Z11*2.65</f>
        <v>1040.549</v>
      </c>
      <c r="AB11" s="41">
        <f>Z11*12/X11</f>
        <v>6.2825599999999995E-2</v>
      </c>
    </row>
    <row r="12" spans="1:28" x14ac:dyDescent="0.2">
      <c r="A12" s="6">
        <v>11</v>
      </c>
      <c r="B12" s="15">
        <v>1805</v>
      </c>
      <c r="C12" s="6" t="s">
        <v>151</v>
      </c>
      <c r="D12" s="6" t="s">
        <v>42</v>
      </c>
      <c r="E12" s="6" t="s">
        <v>46</v>
      </c>
      <c r="F12" s="6" t="s">
        <v>50</v>
      </c>
      <c r="G12" s="6" t="s">
        <v>64</v>
      </c>
      <c r="H12" s="6">
        <v>3332</v>
      </c>
      <c r="I12" s="6" t="s">
        <v>81</v>
      </c>
      <c r="J12" s="6" t="s">
        <v>82</v>
      </c>
      <c r="K12" s="16">
        <v>45797</v>
      </c>
      <c r="L12" s="16">
        <v>46161</v>
      </c>
      <c r="M12" s="7">
        <v>500</v>
      </c>
      <c r="N12" s="6">
        <v>1101077285</v>
      </c>
      <c r="O12" s="7">
        <v>20</v>
      </c>
      <c r="P12" s="7">
        <v>16.18</v>
      </c>
      <c r="Q12" s="7" t="s">
        <v>56</v>
      </c>
      <c r="R12" s="44">
        <v>17040571</v>
      </c>
      <c r="S12" s="16">
        <v>46121</v>
      </c>
      <c r="T12" s="91" t="s">
        <v>58</v>
      </c>
      <c r="U12" s="7">
        <v>19.8</v>
      </c>
      <c r="V12" s="7">
        <f>68*0.8*1.1</f>
        <v>59.840000000000011</v>
      </c>
      <c r="W12" s="7"/>
      <c r="X12" s="7">
        <v>65000</v>
      </c>
      <c r="Y12" s="7">
        <v>76000</v>
      </c>
      <c r="Z12" s="7">
        <f>M12-O12-P12-U12-V12</f>
        <v>384.17999999999995</v>
      </c>
      <c r="AA12" s="36">
        <f>Z12*2.65</f>
        <v>1018.0769999999999</v>
      </c>
      <c r="AB12" s="37">
        <f>Z12*12/X12</f>
        <v>7.0925538461538457E-2</v>
      </c>
    </row>
    <row r="13" spans="1:28" x14ac:dyDescent="0.2">
      <c r="A13" s="11">
        <v>12</v>
      </c>
      <c r="B13" s="43">
        <v>2105</v>
      </c>
      <c r="C13" s="11" t="s">
        <v>130</v>
      </c>
      <c r="D13" s="11" t="s">
        <v>42</v>
      </c>
      <c r="E13" s="11" t="s">
        <v>46</v>
      </c>
      <c r="F13" s="11" t="s">
        <v>50</v>
      </c>
      <c r="G13" s="11" t="s">
        <v>62</v>
      </c>
      <c r="H13" s="11">
        <v>3332</v>
      </c>
      <c r="I13" s="11" t="s">
        <v>83</v>
      </c>
      <c r="J13" s="11" t="s">
        <v>84</v>
      </c>
      <c r="K13" s="38">
        <v>45677</v>
      </c>
      <c r="L13" s="38">
        <v>46041</v>
      </c>
      <c r="M13" s="9">
        <v>550</v>
      </c>
      <c r="N13" s="11">
        <v>1061665988</v>
      </c>
      <c r="O13" s="9">
        <v>25</v>
      </c>
      <c r="P13" s="9">
        <v>16.18</v>
      </c>
      <c r="Q13" s="9" t="s">
        <v>56</v>
      </c>
      <c r="R13" s="45">
        <v>17431291</v>
      </c>
      <c r="S13" s="38">
        <v>45827</v>
      </c>
      <c r="T13" s="91" t="s">
        <v>58</v>
      </c>
      <c r="U13" s="91">
        <v>19.8</v>
      </c>
      <c r="V13" s="9">
        <f>68*0.8*1.1</f>
        <v>59.840000000000011</v>
      </c>
      <c r="W13" s="9"/>
      <c r="X13" s="9">
        <v>65000</v>
      </c>
      <c r="Y13" s="9">
        <v>78000</v>
      </c>
      <c r="Z13" s="9">
        <f>M13-O13-P13-U13-V13</f>
        <v>429.17999999999995</v>
      </c>
      <c r="AA13" s="40">
        <f>Z13*2.65</f>
        <v>1137.3269999999998</v>
      </c>
      <c r="AB13" s="41">
        <f>Z13*12/X13</f>
        <v>7.9233230769230764E-2</v>
      </c>
    </row>
    <row r="14" spans="1:28" x14ac:dyDescent="0.2">
      <c r="A14" s="6">
        <v>13</v>
      </c>
      <c r="B14" s="15">
        <v>2106</v>
      </c>
      <c r="C14" s="6" t="s">
        <v>24</v>
      </c>
      <c r="D14" s="6" t="s">
        <v>25</v>
      </c>
      <c r="E14" s="6" t="s">
        <v>46</v>
      </c>
      <c r="F14" s="6" t="s">
        <v>50</v>
      </c>
      <c r="G14" s="6" t="s">
        <v>104</v>
      </c>
      <c r="H14" s="6">
        <v>3332</v>
      </c>
      <c r="I14" s="6">
        <v>509988877</v>
      </c>
      <c r="J14" s="6" t="s">
        <v>85</v>
      </c>
      <c r="K14" s="16">
        <v>44504</v>
      </c>
      <c r="L14" s="16">
        <v>46329</v>
      </c>
      <c r="M14" s="7">
        <v>500</v>
      </c>
      <c r="N14" s="6">
        <v>1062477474</v>
      </c>
      <c r="O14" s="7">
        <v>25</v>
      </c>
      <c r="P14" s="7">
        <v>16.18</v>
      </c>
      <c r="Q14" s="7" t="s">
        <v>56</v>
      </c>
      <c r="R14" s="44" t="s">
        <v>115</v>
      </c>
      <c r="S14" s="16">
        <v>45778</v>
      </c>
      <c r="T14" s="7" t="s">
        <v>57</v>
      </c>
      <c r="U14" s="7">
        <v>33</v>
      </c>
      <c r="V14" s="7">
        <f>68*0.8*1.1</f>
        <v>59.840000000000011</v>
      </c>
      <c r="W14" s="7">
        <f>5%*M14</f>
        <v>25</v>
      </c>
      <c r="X14" s="7">
        <v>65000</v>
      </c>
      <c r="Y14" s="7">
        <v>78000</v>
      </c>
      <c r="Z14" s="7">
        <f>M14-O14-P14-U14-V14</f>
        <v>365.97999999999996</v>
      </c>
      <c r="AA14" s="36">
        <f>Z14*2.65</f>
        <v>969.84699999999987</v>
      </c>
      <c r="AB14" s="37">
        <f>Z14*12/X14</f>
        <v>6.7565538461538455E-2</v>
      </c>
    </row>
    <row r="15" spans="1:28" x14ac:dyDescent="0.2">
      <c r="A15" s="11">
        <v>14</v>
      </c>
      <c r="B15" s="43">
        <v>3507</v>
      </c>
      <c r="C15" s="11" t="s">
        <v>42</v>
      </c>
      <c r="D15" s="11" t="s">
        <v>25</v>
      </c>
      <c r="E15" s="11" t="s">
        <v>46</v>
      </c>
      <c r="F15" s="11" t="s">
        <v>50</v>
      </c>
      <c r="G15" s="11" t="s">
        <v>105</v>
      </c>
      <c r="H15" s="11">
        <v>3332</v>
      </c>
      <c r="I15" s="11">
        <v>39684499</v>
      </c>
      <c r="J15" s="11" t="s">
        <v>110</v>
      </c>
      <c r="K15" s="38">
        <v>45566</v>
      </c>
      <c r="L15" s="38">
        <v>45930</v>
      </c>
      <c r="M15" s="9">
        <v>1100</v>
      </c>
      <c r="N15" s="11">
        <v>1101758876</v>
      </c>
      <c r="O15" s="9">
        <v>50</v>
      </c>
      <c r="P15" s="9">
        <v>16.18</v>
      </c>
      <c r="Q15" s="9" t="s">
        <v>56</v>
      </c>
      <c r="R15" s="45"/>
      <c r="S15" s="38"/>
      <c r="T15" s="9" t="s">
        <v>57</v>
      </c>
      <c r="U15" s="9">
        <v>55</v>
      </c>
      <c r="V15" s="9">
        <f>151*0.8*1.1</f>
        <v>132.88000000000002</v>
      </c>
      <c r="W15" s="9">
        <f>5%*M15</f>
        <v>55</v>
      </c>
      <c r="X15" s="9">
        <v>175000</v>
      </c>
      <c r="Y15" s="9">
        <v>175000</v>
      </c>
      <c r="Z15" s="9">
        <f>M15-O15-P15-U15-V15</f>
        <v>845.93999999999994</v>
      </c>
      <c r="AA15" s="40">
        <f>Z15*2.65</f>
        <v>2241.741</v>
      </c>
      <c r="AB15" s="41">
        <f>Z15*12/X15</f>
        <v>5.8007314285714276E-2</v>
      </c>
    </row>
    <row r="16" spans="1:28" x14ac:dyDescent="0.2">
      <c r="A16" s="6">
        <v>15</v>
      </c>
      <c r="B16" s="15">
        <v>1706</v>
      </c>
      <c r="C16" s="6" t="s">
        <v>132</v>
      </c>
      <c r="D16" s="6" t="s">
        <v>133</v>
      </c>
      <c r="E16" s="6" t="s">
        <v>46</v>
      </c>
      <c r="F16" s="6" t="s">
        <v>50</v>
      </c>
      <c r="G16" s="6" t="s">
        <v>134</v>
      </c>
      <c r="H16" s="6">
        <v>3332</v>
      </c>
      <c r="I16" s="6">
        <v>500878748</v>
      </c>
      <c r="J16" s="6" t="s">
        <v>135</v>
      </c>
      <c r="K16" s="16">
        <v>45512</v>
      </c>
      <c r="L16" s="16">
        <v>46241</v>
      </c>
      <c r="M16" s="7">
        <v>575</v>
      </c>
      <c r="N16" s="6">
        <v>1101799219</v>
      </c>
      <c r="O16" s="7">
        <v>25</v>
      </c>
      <c r="P16" s="7">
        <v>14.5</v>
      </c>
      <c r="Q16" s="7" t="s">
        <v>50</v>
      </c>
      <c r="R16" s="97">
        <v>17273240</v>
      </c>
      <c r="S16" s="16"/>
      <c r="T16" s="7" t="s">
        <v>58</v>
      </c>
      <c r="U16" s="7">
        <v>19.8</v>
      </c>
      <c r="V16" s="7">
        <f>66.8*0.8*1.1</f>
        <v>58.783999999999999</v>
      </c>
      <c r="W16" s="7">
        <f>5%*M16</f>
        <v>28.75</v>
      </c>
      <c r="X16" s="7">
        <f>74000*1.03</f>
        <v>76220</v>
      </c>
      <c r="Y16" s="7">
        <v>78000</v>
      </c>
      <c r="Z16" s="7">
        <f>M16-O16-P16-U16-V16</f>
        <v>456.91600000000005</v>
      </c>
      <c r="AA16" s="36">
        <f>Z16*2.65</f>
        <v>1210.8274000000001</v>
      </c>
      <c r="AB16" s="37">
        <f>Z16*12/X16</f>
        <v>7.1936394647074256E-2</v>
      </c>
    </row>
    <row r="17" spans="1:28" x14ac:dyDescent="0.2">
      <c r="A17" s="11">
        <v>16</v>
      </c>
      <c r="B17" s="43">
        <v>2305</v>
      </c>
      <c r="C17" s="11" t="s">
        <v>148</v>
      </c>
      <c r="D17" s="11" t="s">
        <v>42</v>
      </c>
      <c r="E17" s="11" t="s">
        <v>46</v>
      </c>
      <c r="F17" s="11" t="s">
        <v>50</v>
      </c>
      <c r="G17" s="11" t="s">
        <v>149</v>
      </c>
      <c r="H17" s="11">
        <v>3332</v>
      </c>
      <c r="I17" s="11">
        <v>66675044</v>
      </c>
      <c r="J17" s="11" t="s">
        <v>150</v>
      </c>
      <c r="K17" s="38">
        <v>45884</v>
      </c>
      <c r="L17" s="38">
        <v>46248</v>
      </c>
      <c r="M17" s="9">
        <v>515</v>
      </c>
      <c r="N17" s="11">
        <v>1102106455</v>
      </c>
      <c r="O17" s="9">
        <v>25</v>
      </c>
      <c r="P17" s="9">
        <v>0</v>
      </c>
      <c r="Q17" s="9" t="s">
        <v>40</v>
      </c>
      <c r="R17" s="45" t="s">
        <v>40</v>
      </c>
      <c r="S17" s="38" t="s">
        <v>40</v>
      </c>
      <c r="T17" s="91" t="s">
        <v>40</v>
      </c>
      <c r="U17" s="91">
        <v>0</v>
      </c>
      <c r="V17" s="9">
        <f>68*0.8*1.1</f>
        <v>59.840000000000011</v>
      </c>
      <c r="W17" s="9"/>
      <c r="X17" s="9">
        <v>67000</v>
      </c>
      <c r="Y17" s="9">
        <v>78000</v>
      </c>
      <c r="Z17" s="9">
        <f>M17-O17-P17-U17-V17</f>
        <v>430.15999999999997</v>
      </c>
      <c r="AA17" s="40">
        <f>Z17*2.65</f>
        <v>1139.924</v>
      </c>
      <c r="AB17" s="41">
        <f>Z17*12/X17</f>
        <v>7.704358208955224E-2</v>
      </c>
    </row>
    <row r="18" spans="1:28" x14ac:dyDescent="0.2">
      <c r="A18" s="11">
        <v>17</v>
      </c>
      <c r="B18" s="43">
        <v>3504</v>
      </c>
      <c r="C18" s="11"/>
      <c r="D18" s="11" t="s">
        <v>42</v>
      </c>
      <c r="E18" s="11" t="s">
        <v>46</v>
      </c>
      <c r="F18" s="11" t="s">
        <v>50</v>
      </c>
      <c r="G18" s="11" t="s">
        <v>159</v>
      </c>
      <c r="H18" s="11">
        <v>3332</v>
      </c>
      <c r="I18" s="11"/>
      <c r="J18" s="11" t="s">
        <v>161</v>
      </c>
      <c r="K18" s="38"/>
      <c r="L18" s="38"/>
      <c r="M18" s="9"/>
      <c r="N18" s="11">
        <v>1100362969</v>
      </c>
      <c r="O18" s="9"/>
      <c r="P18" s="9"/>
      <c r="Q18" s="9" t="s">
        <v>56</v>
      </c>
      <c r="R18" s="45" t="s">
        <v>113</v>
      </c>
      <c r="S18" s="38">
        <v>46324</v>
      </c>
      <c r="T18" s="91" t="s">
        <v>40</v>
      </c>
      <c r="U18" s="91">
        <v>0</v>
      </c>
      <c r="V18" s="9">
        <f>68*0.8*1.1</f>
        <v>59.840000000000011</v>
      </c>
      <c r="W18" s="9"/>
      <c r="X18" s="9">
        <v>108000</v>
      </c>
      <c r="Y18" s="9">
        <v>125000</v>
      </c>
      <c r="Z18" s="9">
        <f>M18-O18-P18-U18-V18</f>
        <v>-59.840000000000011</v>
      </c>
      <c r="AA18" s="40">
        <f>Z18*2.65</f>
        <v>-158.57600000000002</v>
      </c>
      <c r="AB18" s="41">
        <f>Z18*12/X18</f>
        <v>-6.6488888888888899E-3</v>
      </c>
    </row>
    <row r="19" spans="1:28" x14ac:dyDescent="0.2">
      <c r="A19" s="6">
        <v>17</v>
      </c>
      <c r="B19" s="15" t="s">
        <v>18</v>
      </c>
      <c r="C19" s="6" t="s">
        <v>21</v>
      </c>
      <c r="D19" s="6" t="s">
        <v>42</v>
      </c>
      <c r="E19" s="6" t="s">
        <v>47</v>
      </c>
      <c r="F19" s="6" t="s">
        <v>51</v>
      </c>
      <c r="G19" s="6"/>
      <c r="H19" s="6"/>
      <c r="I19" s="6"/>
      <c r="J19" s="6"/>
      <c r="K19" s="16"/>
      <c r="L19" s="16"/>
      <c r="M19" s="7"/>
      <c r="N19" s="6"/>
      <c r="O19" s="7"/>
      <c r="P19" s="7"/>
      <c r="Q19" s="7"/>
      <c r="R19" s="34"/>
      <c r="S19" s="35"/>
      <c r="T19" s="7" t="s">
        <v>40</v>
      </c>
      <c r="U19" s="7"/>
      <c r="V19" s="6"/>
      <c r="W19" s="6"/>
      <c r="X19" s="7">
        <f>125000*0.4</f>
        <v>50000</v>
      </c>
      <c r="Y19" s="7">
        <v>54000</v>
      </c>
      <c r="Z19" s="7">
        <v>300</v>
      </c>
      <c r="AA19" s="36">
        <f>Z19*2.65</f>
        <v>795</v>
      </c>
      <c r="AB19" s="37">
        <f>Z19*12/X19</f>
        <v>7.1999999999999995E-2</v>
      </c>
    </row>
    <row r="20" spans="1:28" x14ac:dyDescent="0.2">
      <c r="A20" s="11">
        <v>18</v>
      </c>
      <c r="B20" s="43" t="s">
        <v>19</v>
      </c>
      <c r="C20" s="11" t="s">
        <v>22</v>
      </c>
      <c r="D20" s="11" t="s">
        <v>42</v>
      </c>
      <c r="E20" s="11" t="s">
        <v>47</v>
      </c>
      <c r="F20" s="11" t="s">
        <v>19</v>
      </c>
      <c r="G20" s="11"/>
      <c r="H20" s="11"/>
      <c r="I20" s="11"/>
      <c r="J20" s="11"/>
      <c r="K20" s="38"/>
      <c r="L20" s="38"/>
      <c r="M20" s="9"/>
      <c r="N20" s="11"/>
      <c r="O20" s="9"/>
      <c r="P20" s="9"/>
      <c r="Q20" s="9"/>
      <c r="R20" s="39"/>
      <c r="S20" s="39"/>
      <c r="T20" s="9" t="s">
        <v>40</v>
      </c>
      <c r="U20" s="9"/>
      <c r="V20" s="11"/>
      <c r="W20" s="11"/>
      <c r="X20" s="9">
        <f>175000*0.4</f>
        <v>70000</v>
      </c>
      <c r="Y20" s="9">
        <v>80000</v>
      </c>
      <c r="Z20" s="9">
        <v>300</v>
      </c>
      <c r="AA20" s="40">
        <f>Z20*2.65</f>
        <v>795</v>
      </c>
      <c r="AB20" s="41">
        <f>Z20*12/X20</f>
        <v>5.1428571428571428E-2</v>
      </c>
    </row>
    <row r="21" spans="1:28" x14ac:dyDescent="0.2">
      <c r="A21" s="6">
        <v>19</v>
      </c>
      <c r="B21" s="15" t="s">
        <v>20</v>
      </c>
      <c r="C21" s="6" t="s">
        <v>137</v>
      </c>
      <c r="D21" s="6" t="s">
        <v>42</v>
      </c>
      <c r="E21" s="6" t="s">
        <v>47</v>
      </c>
      <c r="F21" s="6" t="s">
        <v>20</v>
      </c>
      <c r="G21" s="6"/>
      <c r="H21" s="6"/>
      <c r="I21" s="6"/>
      <c r="J21" s="6"/>
      <c r="K21" s="16"/>
      <c r="L21" s="16"/>
      <c r="M21" s="7"/>
      <c r="N21" s="6"/>
      <c r="O21" s="7"/>
      <c r="P21" s="7"/>
      <c r="Q21" s="7"/>
      <c r="R21" s="34"/>
      <c r="S21" s="35"/>
      <c r="T21" s="7" t="s">
        <v>40</v>
      </c>
      <c r="U21" s="7"/>
      <c r="V21" s="6"/>
      <c r="W21" s="6"/>
      <c r="X21" s="7">
        <f>175000*0.4</f>
        <v>70000</v>
      </c>
      <c r="Y21" s="7">
        <v>80000</v>
      </c>
      <c r="Z21" s="7">
        <v>300</v>
      </c>
      <c r="AA21" s="36">
        <f>Z21*2.65</f>
        <v>795</v>
      </c>
      <c r="AB21" s="37">
        <f>Z21*12/X21</f>
        <v>5.1428571428571428E-2</v>
      </c>
    </row>
    <row r="22" spans="1:28" x14ac:dyDescent="0.2">
      <c r="A22" s="11"/>
      <c r="B22" s="43"/>
      <c r="C22" s="11"/>
      <c r="D22" s="11"/>
      <c r="E22" s="11"/>
      <c r="F22" s="11"/>
      <c r="G22" s="11"/>
      <c r="H22" s="11"/>
      <c r="I22" s="11"/>
      <c r="J22" s="11"/>
      <c r="K22" s="38"/>
      <c r="L22" s="38"/>
      <c r="M22" s="9"/>
      <c r="N22" s="11"/>
      <c r="O22" s="9"/>
      <c r="P22" s="9"/>
      <c r="Q22" s="9"/>
      <c r="R22" s="39"/>
      <c r="S22" s="39"/>
      <c r="T22" s="9"/>
      <c r="U22" s="9"/>
      <c r="V22" s="11"/>
      <c r="W22" s="11"/>
      <c r="X22" s="40">
        <f>SUBTOTAL(9,X2:X21)</f>
        <v>1435720</v>
      </c>
      <c r="Y22" s="40">
        <f>SUBTOTAL(9,Y2:Y21)</f>
        <v>1595000</v>
      </c>
      <c r="Z22" s="40">
        <f>SUBTOTAL(9,Z2:Z21)</f>
        <v>7573.7559999999994</v>
      </c>
      <c r="AA22" s="40">
        <f>SUBTOTAL(9,AA2:AA21)</f>
        <v>20070.453399999999</v>
      </c>
      <c r="AB22" s="41"/>
    </row>
  </sheetData>
  <autoFilter ref="B1:AB21" xr:uid="{0CB05F37-A58A-4093-B62D-4B96EDF04575}"/>
  <conditionalFormatting sqref="Z2:Z21">
    <cfRule type="colorScale" priority="14">
      <colorScale>
        <cfvo type="min"/>
        <cfvo type="max"/>
        <color rgb="FFFFEF9C"/>
        <color rgb="FF63BE7B"/>
      </colorScale>
    </cfRule>
  </conditionalFormatting>
  <conditionalFormatting sqref="AB2:AB22">
    <cfRule type="colorScale" priority="19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headerFooter>
    <oddFooter>&amp;L&amp;1#&amp;"Arial"&amp;10&amp;K000000Non-Business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410F-9896-4B37-9C11-272391EBAB4D}">
  <sheetPr>
    <tabColor theme="4"/>
  </sheetPr>
  <dimension ref="A1:L44"/>
  <sheetViews>
    <sheetView workbookViewId="0">
      <pane ySplit="3" topLeftCell="A4" activePane="bottomLeft" state="frozen"/>
      <selection activeCell="E40" sqref="E40"/>
      <selection pane="bottomLeft" activeCell="F29" sqref="F29"/>
    </sheetView>
  </sheetViews>
  <sheetFormatPr defaultColWidth="8.609375" defaultRowHeight="15" x14ac:dyDescent="0.2"/>
  <cols>
    <col min="1" max="1" width="9.953125" customWidth="1"/>
    <col min="2" max="2" width="14.66015625" bestFit="1" customWidth="1"/>
    <col min="3" max="3" width="12.9140625" bestFit="1" customWidth="1"/>
    <col min="4" max="4" width="11.1640625" bestFit="1" customWidth="1"/>
    <col min="5" max="5" width="14.125" bestFit="1" customWidth="1"/>
    <col min="6" max="6" width="12.23828125" bestFit="1" customWidth="1"/>
    <col min="7" max="7" width="11.703125" bestFit="1" customWidth="1"/>
    <col min="8" max="8" width="13.1796875" bestFit="1" customWidth="1"/>
    <col min="9" max="9" width="20.984375" bestFit="1" customWidth="1"/>
    <col min="10" max="10" width="11.1640625" bestFit="1" customWidth="1"/>
    <col min="11" max="11" width="10.625" bestFit="1" customWidth="1"/>
    <col min="12" max="12" width="13.71875" bestFit="1" customWidth="1"/>
  </cols>
  <sheetData>
    <row r="1" spans="1:12" x14ac:dyDescent="0.2">
      <c r="A1" s="79" t="s">
        <v>0</v>
      </c>
      <c r="B1" s="80" t="str">
        <f>Master!B2</f>
        <v>1307A</v>
      </c>
      <c r="C1" s="81" t="s">
        <v>38</v>
      </c>
      <c r="D1" s="80" t="str">
        <f>Master!J2</f>
        <v>P4-30</v>
      </c>
      <c r="E1" s="81" t="s">
        <v>2</v>
      </c>
      <c r="F1" s="80">
        <f>Master!N2</f>
        <v>1100253895</v>
      </c>
      <c r="G1" s="81" t="s">
        <v>27</v>
      </c>
      <c r="H1" s="82">
        <f>Master!O2</f>
        <v>15</v>
      </c>
      <c r="I1" s="83"/>
      <c r="J1" s="83"/>
      <c r="K1" s="65"/>
    </row>
    <row r="2" spans="1:12" ht="15.75" thickBot="1" x14ac:dyDescent="0.25">
      <c r="A2" s="84" t="s">
        <v>28</v>
      </c>
      <c r="B2" s="85" t="str">
        <f>Master!C2</f>
        <v>Amy</v>
      </c>
      <c r="C2" s="86" t="s">
        <v>34</v>
      </c>
      <c r="D2" s="85" t="str">
        <f>Master!I2</f>
        <v>3223 1104</v>
      </c>
      <c r="E2" s="86" t="s">
        <v>29</v>
      </c>
      <c r="F2" s="87">
        <f>Master!K2</f>
        <v>45748</v>
      </c>
      <c r="G2" s="86" t="s">
        <v>30</v>
      </c>
      <c r="H2" s="87">
        <f>Master!L2</f>
        <v>46112</v>
      </c>
      <c r="I2" s="88"/>
      <c r="J2" s="88"/>
      <c r="K2" s="89"/>
    </row>
    <row r="3" spans="1:12" x14ac:dyDescent="0.2">
      <c r="A3" s="28" t="s">
        <v>31</v>
      </c>
      <c r="B3" s="28" t="s">
        <v>32</v>
      </c>
      <c r="C3" s="28" t="s">
        <v>2</v>
      </c>
      <c r="D3" s="28" t="s">
        <v>33</v>
      </c>
      <c r="E3" s="28" t="s">
        <v>3</v>
      </c>
      <c r="F3" s="28" t="s">
        <v>93</v>
      </c>
      <c r="G3" s="28" t="s">
        <v>98</v>
      </c>
      <c r="H3" s="28" t="s">
        <v>96</v>
      </c>
      <c r="I3" s="28" t="s">
        <v>97</v>
      </c>
      <c r="J3" s="28" t="s">
        <v>95</v>
      </c>
      <c r="K3" s="28" t="s">
        <v>103</v>
      </c>
    </row>
    <row r="4" spans="1:12" x14ac:dyDescent="0.2">
      <c r="A4" s="24" t="s">
        <v>94</v>
      </c>
      <c r="B4" s="25">
        <v>0</v>
      </c>
      <c r="C4" s="26" t="s">
        <v>101</v>
      </c>
      <c r="D4" s="27">
        <v>45291</v>
      </c>
      <c r="E4" s="24"/>
      <c r="F4" s="24"/>
      <c r="G4" s="24"/>
      <c r="H4" s="24"/>
      <c r="I4" s="24"/>
      <c r="J4" s="24"/>
      <c r="K4" s="24"/>
    </row>
    <row r="5" spans="1:12" x14ac:dyDescent="0.2">
      <c r="A5" s="12">
        <v>45292</v>
      </c>
      <c r="B5" s="21">
        <v>370</v>
      </c>
      <c r="C5" s="22">
        <v>10.63</v>
      </c>
      <c r="D5" s="22"/>
      <c r="E5" s="22">
        <v>14.5</v>
      </c>
      <c r="F5" s="22"/>
      <c r="G5" s="22"/>
      <c r="H5" s="22"/>
      <c r="I5" s="22"/>
      <c r="J5" s="22">
        <f>IF((C5+D5)&gt;$H$1,(C5+D5)-$H$1,0)</f>
        <v>0</v>
      </c>
      <c r="K5" s="23"/>
    </row>
    <row r="6" spans="1:12" x14ac:dyDescent="0.2">
      <c r="A6" s="13">
        <v>45323</v>
      </c>
      <c r="B6" s="9">
        <v>370</v>
      </c>
      <c r="C6" s="10">
        <v>9.3000000000000007</v>
      </c>
      <c r="D6" s="10"/>
      <c r="E6" s="10">
        <v>14.5</v>
      </c>
      <c r="F6" s="10"/>
      <c r="G6" s="10"/>
      <c r="H6" s="56">
        <v>231.55</v>
      </c>
      <c r="I6" s="56" t="s">
        <v>121</v>
      </c>
      <c r="J6" s="10">
        <f>IF((C6+D6)&gt;$H$1,(C6+D6)-$H$1,0)</f>
        <v>0</v>
      </c>
      <c r="K6" s="11"/>
    </row>
    <row r="7" spans="1:12" x14ac:dyDescent="0.2">
      <c r="A7" s="12">
        <v>45352</v>
      </c>
      <c r="B7" s="21">
        <v>370</v>
      </c>
      <c r="C7" s="8">
        <v>11.15</v>
      </c>
      <c r="D7" s="8"/>
      <c r="E7" s="8">
        <v>14.5</v>
      </c>
      <c r="F7" s="8"/>
      <c r="G7" s="8"/>
      <c r="H7" s="8"/>
      <c r="I7" s="8"/>
      <c r="J7" s="8">
        <f>IF((C7+D7)&gt;$H$1,(C7+D7)-$H$1,0)</f>
        <v>0</v>
      </c>
      <c r="K7" s="6"/>
    </row>
    <row r="8" spans="1:12" x14ac:dyDescent="0.2">
      <c r="A8" s="13">
        <v>45383</v>
      </c>
      <c r="B8" s="9">
        <v>370</v>
      </c>
      <c r="C8" s="10">
        <v>11.09</v>
      </c>
      <c r="D8" s="10"/>
      <c r="E8" s="10">
        <v>14.5</v>
      </c>
      <c r="F8" s="10"/>
      <c r="G8" s="10"/>
      <c r="H8" s="10"/>
      <c r="I8" s="10"/>
      <c r="J8" s="10">
        <f>IF((C8+D8)&gt;$H$1,(C8+D8)-$H$1,0)</f>
        <v>0</v>
      </c>
      <c r="K8" s="11"/>
    </row>
    <row r="9" spans="1:12" x14ac:dyDescent="0.2">
      <c r="A9" s="12">
        <v>45413</v>
      </c>
      <c r="B9" s="21">
        <v>370</v>
      </c>
      <c r="C9" s="8">
        <v>12.37</v>
      </c>
      <c r="D9" s="8"/>
      <c r="E9" s="8">
        <v>14.5</v>
      </c>
      <c r="F9" s="8"/>
      <c r="G9" s="8"/>
      <c r="H9" s="8"/>
      <c r="I9" s="8"/>
      <c r="J9" s="8">
        <f>IF((C9+D9)&gt;$H$1,(C9+D9)-$H$1,0)</f>
        <v>0</v>
      </c>
      <c r="K9" s="6"/>
    </row>
    <row r="10" spans="1:12" x14ac:dyDescent="0.2">
      <c r="A10" s="13">
        <v>45444</v>
      </c>
      <c r="B10" s="9">
        <v>370</v>
      </c>
      <c r="C10" s="10">
        <v>16.66</v>
      </c>
      <c r="D10" s="10"/>
      <c r="E10" s="10">
        <v>14.5</v>
      </c>
      <c r="F10" s="10"/>
      <c r="G10" s="10"/>
      <c r="H10" s="10"/>
      <c r="I10" s="10"/>
      <c r="J10" s="10">
        <f>IF((C10+D10)&gt;$H$1,(C10+D10)-$H$1,0)</f>
        <v>1.6600000000000001</v>
      </c>
      <c r="K10" s="11" t="s">
        <v>91</v>
      </c>
    </row>
    <row r="11" spans="1:12" x14ac:dyDescent="0.2">
      <c r="A11" s="12">
        <v>45474</v>
      </c>
      <c r="B11" s="21">
        <v>370</v>
      </c>
      <c r="C11" s="8">
        <v>8.35</v>
      </c>
      <c r="D11" s="8"/>
      <c r="E11" s="8">
        <v>14.5</v>
      </c>
      <c r="F11" s="8"/>
      <c r="G11" s="8"/>
      <c r="H11" s="8"/>
      <c r="I11" s="8"/>
      <c r="J11" s="8">
        <f>IF((C11+D11)&gt;$H$1,(C11+D11)-$H$1,0)</f>
        <v>0</v>
      </c>
      <c r="K11" s="6"/>
    </row>
    <row r="12" spans="1:12" x14ac:dyDescent="0.2">
      <c r="A12" s="13">
        <v>45505</v>
      </c>
      <c r="B12" s="9">
        <v>370</v>
      </c>
      <c r="C12" s="10">
        <v>8.61</v>
      </c>
      <c r="D12" s="10"/>
      <c r="E12" s="10">
        <v>14.5</v>
      </c>
      <c r="F12" s="10"/>
      <c r="G12" s="10"/>
      <c r="H12" s="10"/>
      <c r="I12" s="10"/>
      <c r="J12" s="10">
        <f>IF((C12+D12)&gt;$H$1,(C12+D12)-$H$1,0)</f>
        <v>0</v>
      </c>
      <c r="K12" s="11"/>
    </row>
    <row r="13" spans="1:12" x14ac:dyDescent="0.2">
      <c r="A13" s="12">
        <v>45536</v>
      </c>
      <c r="B13" s="21">
        <v>370</v>
      </c>
      <c r="C13" s="8">
        <v>15.87</v>
      </c>
      <c r="D13" s="8"/>
      <c r="E13" s="8">
        <v>14.5</v>
      </c>
      <c r="F13" s="8"/>
      <c r="G13" s="8"/>
      <c r="H13" s="8"/>
      <c r="I13" s="8"/>
      <c r="J13" s="8">
        <f>IF((C13+D13)&gt;$H$1,(C13+D13)-$H$1,0)</f>
        <v>0.86999999999999922</v>
      </c>
      <c r="K13" s="6" t="s">
        <v>91</v>
      </c>
    </row>
    <row r="14" spans="1:12" x14ac:dyDescent="0.2">
      <c r="A14" s="13">
        <v>45566</v>
      </c>
      <c r="B14" s="9">
        <v>370</v>
      </c>
      <c r="C14" s="10">
        <v>8.19</v>
      </c>
      <c r="D14" s="10"/>
      <c r="E14" s="10">
        <v>14.5</v>
      </c>
      <c r="F14" s="10"/>
      <c r="G14" s="10"/>
      <c r="H14" s="10"/>
      <c r="I14" s="10"/>
      <c r="J14" s="10">
        <f>IF((C14+D14)&gt;$H$1,(C14+D14)-$H$1,0)</f>
        <v>0</v>
      </c>
      <c r="K14" s="11"/>
    </row>
    <row r="15" spans="1:12" x14ac:dyDescent="0.2">
      <c r="A15" s="12">
        <v>45597</v>
      </c>
      <c r="B15" s="21">
        <v>370</v>
      </c>
      <c r="C15" s="8">
        <v>18.84</v>
      </c>
      <c r="D15" s="8"/>
      <c r="E15" s="8">
        <v>14.5</v>
      </c>
      <c r="F15" s="8"/>
      <c r="G15" s="8"/>
      <c r="H15" s="8">
        <v>370</v>
      </c>
      <c r="I15" s="8" t="s">
        <v>127</v>
      </c>
      <c r="J15" s="8">
        <f>IF((C15+D15)&gt;$H$1,(C15+D15)-$H$1,0)</f>
        <v>3.84</v>
      </c>
      <c r="K15" s="6" t="s">
        <v>91</v>
      </c>
    </row>
    <row r="16" spans="1:12" ht="15.75" thickBot="1" x14ac:dyDescent="0.25">
      <c r="A16" s="13">
        <v>45627</v>
      </c>
      <c r="B16" s="9">
        <v>0</v>
      </c>
      <c r="C16" s="10">
        <v>9.61</v>
      </c>
      <c r="D16" s="10"/>
      <c r="E16" s="10">
        <v>6</v>
      </c>
      <c r="F16" s="10"/>
      <c r="G16" s="10"/>
      <c r="H16" s="10"/>
      <c r="I16" s="10"/>
      <c r="J16" s="10">
        <f>IF((C16+D16)&gt;$H$1,(C16+D16)-$H$1,0)</f>
        <v>0</v>
      </c>
      <c r="K16" s="11"/>
      <c r="L16" s="25">
        <f>SUM(B5:B16)-SUM(C5:C16)-SUM(D5:D16)-SUM(E5:E16)-SUM(F5:F16)-SUM(G5:G16)-SUM(H5:H16)+SUM(J5:J16)</f>
        <v>3168.6499999999996</v>
      </c>
    </row>
    <row r="17" spans="1:12" x14ac:dyDescent="0.2">
      <c r="A17" s="62">
        <v>45658</v>
      </c>
      <c r="B17" s="66">
        <v>700</v>
      </c>
      <c r="C17" s="67">
        <v>9.16</v>
      </c>
      <c r="D17" s="67"/>
      <c r="E17" s="67">
        <v>6</v>
      </c>
      <c r="F17" s="67"/>
      <c r="G17" s="67"/>
      <c r="H17" s="67">
        <v>350</v>
      </c>
      <c r="I17" s="67" t="s">
        <v>128</v>
      </c>
      <c r="J17" s="67">
        <f>IF(C17&gt;$H$1,C17-$H$1,0)</f>
        <v>0</v>
      </c>
      <c r="K17" s="68"/>
    </row>
    <row r="18" spans="1:12" x14ac:dyDescent="0.2">
      <c r="A18" s="54">
        <v>45689</v>
      </c>
      <c r="B18" s="55">
        <v>350</v>
      </c>
      <c r="C18" s="56">
        <v>16.66</v>
      </c>
      <c r="D18" s="56"/>
      <c r="E18" s="56">
        <v>6</v>
      </c>
      <c r="F18" s="56"/>
      <c r="G18" s="56"/>
      <c r="H18" s="56">
        <v>231.55</v>
      </c>
      <c r="I18" s="56" t="s">
        <v>121</v>
      </c>
      <c r="J18" s="56">
        <f>IF(C18&gt;$H$1,C18-$H$1,0)</f>
        <v>1.6600000000000001</v>
      </c>
      <c r="K18" s="57"/>
    </row>
    <row r="19" spans="1:12" x14ac:dyDescent="0.2">
      <c r="A19" s="50">
        <v>45717</v>
      </c>
      <c r="B19" s="51">
        <v>350</v>
      </c>
      <c r="C19" s="52">
        <v>17.3</v>
      </c>
      <c r="D19" s="52"/>
      <c r="E19" s="52">
        <v>6</v>
      </c>
      <c r="F19" s="52"/>
      <c r="G19" s="52"/>
      <c r="H19" s="52"/>
      <c r="I19" s="52" t="s">
        <v>141</v>
      </c>
      <c r="J19" s="52">
        <f>IF(C19&gt;$H$1,C19-$H$1,0)</f>
        <v>2.3000000000000007</v>
      </c>
      <c r="K19" s="53"/>
    </row>
    <row r="20" spans="1:12" x14ac:dyDescent="0.2">
      <c r="A20" s="54">
        <v>45748</v>
      </c>
      <c r="B20" s="55">
        <v>350</v>
      </c>
      <c r="C20" s="56">
        <v>7.97</v>
      </c>
      <c r="D20" s="56"/>
      <c r="E20" s="56">
        <v>6</v>
      </c>
      <c r="F20" s="56"/>
      <c r="G20" s="56"/>
      <c r="H20" s="56"/>
      <c r="I20" s="56"/>
      <c r="J20" s="56">
        <f>IF(C20&gt;$H$1,C20-$H$1,0)</f>
        <v>0</v>
      </c>
      <c r="K20" s="57"/>
    </row>
    <row r="21" spans="1:12" x14ac:dyDescent="0.2">
      <c r="A21" s="50">
        <v>45778</v>
      </c>
      <c r="B21" s="51">
        <v>350</v>
      </c>
      <c r="C21" s="52">
        <v>11.35</v>
      </c>
      <c r="D21" s="52"/>
      <c r="E21" s="52">
        <v>6</v>
      </c>
      <c r="F21" s="52"/>
      <c r="G21" s="52"/>
      <c r="H21" s="52"/>
      <c r="I21" s="52"/>
      <c r="J21" s="52">
        <f>IF(C21&gt;$H$1,C21-$H$1,0)</f>
        <v>0</v>
      </c>
      <c r="K21" s="53"/>
    </row>
    <row r="22" spans="1:12" x14ac:dyDescent="0.2">
      <c r="A22" s="54">
        <v>45809</v>
      </c>
      <c r="B22" s="55">
        <v>350</v>
      </c>
      <c r="C22" s="56">
        <v>13.76</v>
      </c>
      <c r="D22" s="56"/>
      <c r="E22" s="56">
        <v>6</v>
      </c>
      <c r="F22" s="56"/>
      <c r="G22" s="56"/>
      <c r="H22" s="56"/>
      <c r="I22" s="56"/>
      <c r="J22" s="56">
        <f>IF(C22&gt;$H$1,C22-$H$1,0)</f>
        <v>0</v>
      </c>
      <c r="K22" s="57"/>
    </row>
    <row r="23" spans="1:12" x14ac:dyDescent="0.2">
      <c r="A23" s="50">
        <v>45839</v>
      </c>
      <c r="B23" s="51">
        <v>350</v>
      </c>
      <c r="C23" s="52">
        <v>13.62</v>
      </c>
      <c r="D23" s="52"/>
      <c r="E23" s="52">
        <v>6</v>
      </c>
      <c r="F23" s="52"/>
      <c r="G23" s="52"/>
      <c r="H23" s="52"/>
      <c r="I23" s="52"/>
      <c r="J23" s="52">
        <f>IF(C23&gt;$H$1,C23-$H$1,0)</f>
        <v>0</v>
      </c>
      <c r="K23" s="53"/>
    </row>
    <row r="24" spans="1:12" x14ac:dyDescent="0.2">
      <c r="A24" s="54">
        <v>45870</v>
      </c>
      <c r="B24" s="55">
        <v>350</v>
      </c>
      <c r="C24" s="56">
        <v>15.73</v>
      </c>
      <c r="D24" s="56"/>
      <c r="E24" s="56">
        <v>6</v>
      </c>
      <c r="F24" s="56"/>
      <c r="G24" s="56"/>
      <c r="H24" s="56"/>
      <c r="I24" s="56"/>
      <c r="J24" s="56">
        <f>IF(C24&gt;$H$1,C24-$H$1,0)</f>
        <v>0.73000000000000043</v>
      </c>
      <c r="K24" s="57"/>
    </row>
    <row r="25" spans="1:12" x14ac:dyDescent="0.2">
      <c r="A25" s="50">
        <v>45901</v>
      </c>
      <c r="B25" s="51">
        <v>350</v>
      </c>
      <c r="C25" s="52">
        <v>13.91</v>
      </c>
      <c r="D25" s="52"/>
      <c r="E25" s="52">
        <v>6</v>
      </c>
      <c r="F25" s="52"/>
      <c r="G25" s="52"/>
      <c r="H25" s="52"/>
      <c r="I25" s="52"/>
      <c r="J25" s="52">
        <f>IF(C25&gt;$H$1,C25-$H$1,0)</f>
        <v>0</v>
      </c>
      <c r="K25" s="53"/>
    </row>
    <row r="26" spans="1:12" x14ac:dyDescent="0.2">
      <c r="A26" s="54">
        <v>45931</v>
      </c>
      <c r="B26" s="55">
        <v>350</v>
      </c>
      <c r="C26" s="56">
        <v>12.95</v>
      </c>
      <c r="D26" s="56"/>
      <c r="E26" s="56">
        <v>6</v>
      </c>
      <c r="F26" s="56"/>
      <c r="G26" s="56"/>
      <c r="H26" s="56"/>
      <c r="I26" s="56"/>
      <c r="J26" s="56">
        <f>IF(C26&gt;$H$1,C26-$H$1,0)</f>
        <v>0</v>
      </c>
      <c r="K26" s="57"/>
    </row>
    <row r="27" spans="1:12" x14ac:dyDescent="0.2">
      <c r="A27" s="50">
        <v>45962</v>
      </c>
      <c r="B27" s="51">
        <v>350</v>
      </c>
      <c r="C27" s="52">
        <v>12.16</v>
      </c>
      <c r="D27" s="52"/>
      <c r="E27" s="52">
        <v>6</v>
      </c>
      <c r="F27" s="52"/>
      <c r="G27" s="52"/>
      <c r="H27" s="52"/>
      <c r="I27" s="52"/>
      <c r="J27" s="52">
        <f>IF(C27&gt;$H$1,C27-$H$1,0)</f>
        <v>0</v>
      </c>
      <c r="K27" s="53"/>
    </row>
    <row r="28" spans="1:12" ht="15.75" thickBot="1" x14ac:dyDescent="0.25">
      <c r="A28" s="58">
        <v>45992</v>
      </c>
      <c r="B28" s="59">
        <v>350</v>
      </c>
      <c r="C28" s="60">
        <v>11.87</v>
      </c>
      <c r="D28" s="60"/>
      <c r="E28" s="60">
        <v>6</v>
      </c>
      <c r="F28" s="60"/>
      <c r="G28" s="60"/>
      <c r="H28" s="60"/>
      <c r="I28" s="60"/>
      <c r="J28" s="60">
        <f>IF(C28&gt;$H$1,C28-$H$1,0)</f>
        <v>0</v>
      </c>
      <c r="K28" s="61"/>
      <c r="L28" s="25">
        <f>SUM(B17:B28)-SUM(C17:C28)-SUM(D17:D28)-SUM(E17:E28)-SUM(F17:F28)-SUM(G17:G28)-SUM(H17:H28)+SUM(J17:J28)</f>
        <v>3744.7000000000003</v>
      </c>
    </row>
    <row r="29" spans="1:12" x14ac:dyDescent="0.2">
      <c r="A29" s="62">
        <v>46023</v>
      </c>
      <c r="B29" s="66">
        <v>350</v>
      </c>
      <c r="C29" s="67"/>
      <c r="D29" s="67"/>
      <c r="E29" s="67">
        <v>6</v>
      </c>
      <c r="F29" s="67"/>
      <c r="G29" s="67"/>
      <c r="H29" s="67"/>
      <c r="I29" s="67"/>
      <c r="J29" s="67">
        <f>IF(C29&gt;$H$1,C29-$H$1,0)</f>
        <v>0</v>
      </c>
      <c r="K29" s="68"/>
    </row>
    <row r="30" spans="1:12" x14ac:dyDescent="0.2">
      <c r="A30" s="54">
        <v>46054</v>
      </c>
      <c r="B30" s="55"/>
      <c r="C30" s="56"/>
      <c r="D30" s="56"/>
      <c r="E30" s="56"/>
      <c r="F30" s="56"/>
      <c r="G30" s="56"/>
      <c r="H30" s="56"/>
      <c r="I30" s="56"/>
      <c r="J30" s="56">
        <f>IF(C30&gt;$H$1,C30-$H$1,0)</f>
        <v>0</v>
      </c>
      <c r="K30" s="57"/>
    </row>
    <row r="31" spans="1:12" x14ac:dyDescent="0.2">
      <c r="A31" s="50">
        <v>46082</v>
      </c>
      <c r="B31" s="51"/>
      <c r="C31" s="52"/>
      <c r="D31" s="52"/>
      <c r="E31" s="52"/>
      <c r="F31" s="52"/>
      <c r="G31" s="52"/>
      <c r="H31" s="52"/>
      <c r="I31" s="52"/>
      <c r="J31" s="52">
        <f>IF(C31&gt;$H$1,C31-$H$1,0)</f>
        <v>0</v>
      </c>
      <c r="K31" s="53"/>
    </row>
    <row r="32" spans="1:12" x14ac:dyDescent="0.2">
      <c r="A32" s="54">
        <v>46113</v>
      </c>
      <c r="B32" s="55"/>
      <c r="C32" s="56"/>
      <c r="D32" s="56"/>
      <c r="E32" s="56"/>
      <c r="F32" s="56"/>
      <c r="G32" s="56"/>
      <c r="H32" s="56"/>
      <c r="I32" s="56"/>
      <c r="J32" s="56">
        <f>IF(C32&gt;$H$1,C32-$H$1,0)</f>
        <v>0</v>
      </c>
      <c r="K32" s="57"/>
    </row>
    <row r="33" spans="1:12" x14ac:dyDescent="0.2">
      <c r="A33" s="50">
        <v>46143</v>
      </c>
      <c r="B33" s="51"/>
      <c r="C33" s="52"/>
      <c r="D33" s="52"/>
      <c r="E33" s="52"/>
      <c r="F33" s="52"/>
      <c r="G33" s="52"/>
      <c r="H33" s="52"/>
      <c r="I33" s="52"/>
      <c r="J33" s="52">
        <f>IF(C33&gt;$H$1,C33-$H$1,0)</f>
        <v>0</v>
      </c>
      <c r="K33" s="53"/>
    </row>
    <row r="34" spans="1:12" x14ac:dyDescent="0.2">
      <c r="A34" s="54">
        <v>46174</v>
      </c>
      <c r="B34" s="55"/>
      <c r="C34" s="56"/>
      <c r="D34" s="56"/>
      <c r="E34" s="56"/>
      <c r="F34" s="56"/>
      <c r="G34" s="56"/>
      <c r="H34" s="56"/>
      <c r="I34" s="56"/>
      <c r="J34" s="56">
        <f>IF(C34&gt;$H$1,C34-$H$1,0)</f>
        <v>0</v>
      </c>
      <c r="K34" s="57"/>
    </row>
    <row r="35" spans="1:12" x14ac:dyDescent="0.2">
      <c r="A35" s="50">
        <v>46204</v>
      </c>
      <c r="B35" s="51"/>
      <c r="C35" s="52"/>
      <c r="D35" s="52"/>
      <c r="E35" s="52"/>
      <c r="F35" s="52"/>
      <c r="G35" s="52"/>
      <c r="H35" s="52"/>
      <c r="I35" s="52"/>
      <c r="J35" s="52">
        <f>IF(C35&gt;$H$1,C35-$H$1,0)</f>
        <v>0</v>
      </c>
      <c r="K35" s="53"/>
    </row>
    <row r="36" spans="1:12" x14ac:dyDescent="0.2">
      <c r="A36" s="54">
        <v>46235</v>
      </c>
      <c r="B36" s="55"/>
      <c r="C36" s="56"/>
      <c r="D36" s="56"/>
      <c r="E36" s="56"/>
      <c r="F36" s="56"/>
      <c r="G36" s="56"/>
      <c r="H36" s="56"/>
      <c r="I36" s="56"/>
      <c r="J36" s="56">
        <f>IF(C36&gt;$H$1,C36-$H$1,0)</f>
        <v>0</v>
      </c>
      <c r="K36" s="57"/>
    </row>
    <row r="37" spans="1:12" x14ac:dyDescent="0.2">
      <c r="A37" s="50">
        <v>46266</v>
      </c>
      <c r="B37" s="51"/>
      <c r="C37" s="52"/>
      <c r="D37" s="52"/>
      <c r="E37" s="52"/>
      <c r="F37" s="52"/>
      <c r="G37" s="52"/>
      <c r="H37" s="52"/>
      <c r="I37" s="52"/>
      <c r="J37" s="52">
        <f>IF(C37&gt;$H$1,C37-$H$1,0)</f>
        <v>0</v>
      </c>
      <c r="K37" s="53"/>
    </row>
    <row r="38" spans="1:12" x14ac:dyDescent="0.2">
      <c r="A38" s="54">
        <v>46296</v>
      </c>
      <c r="B38" s="55"/>
      <c r="C38" s="56"/>
      <c r="D38" s="56"/>
      <c r="E38" s="56"/>
      <c r="F38" s="56"/>
      <c r="G38" s="56"/>
      <c r="H38" s="56"/>
      <c r="I38" s="56"/>
      <c r="J38" s="56">
        <f>IF(C38&gt;$H$1,C38-$H$1,0)</f>
        <v>0</v>
      </c>
      <c r="K38" s="57"/>
    </row>
    <row r="39" spans="1:12" x14ac:dyDescent="0.2">
      <c r="A39" s="50">
        <v>46327</v>
      </c>
      <c r="B39" s="51"/>
      <c r="C39" s="52"/>
      <c r="D39" s="52"/>
      <c r="E39" s="52"/>
      <c r="F39" s="52"/>
      <c r="G39" s="52"/>
      <c r="H39" s="52"/>
      <c r="I39" s="52"/>
      <c r="J39" s="52">
        <f>IF(C39&gt;$H$1,C39-$H$1,0)</f>
        <v>0</v>
      </c>
      <c r="K39" s="53"/>
    </row>
    <row r="40" spans="1:12" ht="15.75" thickBot="1" x14ac:dyDescent="0.25">
      <c r="A40" s="58">
        <v>46357</v>
      </c>
      <c r="B40" s="59"/>
      <c r="C40" s="60"/>
      <c r="D40" s="60"/>
      <c r="E40" s="60"/>
      <c r="F40" s="60"/>
      <c r="G40" s="60"/>
      <c r="H40" s="60"/>
      <c r="I40" s="60"/>
      <c r="J40" s="60">
        <f>IF(C40&gt;$H$1,C40-$H$1,0)</f>
        <v>0</v>
      </c>
      <c r="K40" s="61"/>
      <c r="L40" s="25">
        <f>SUM(B29:B40)-SUM(C29:C40)-SUM(D29:D40)-SUM(E29:E40)-SUM(F29:F40)-SUM(G29:G40)-SUM(H29:H40)+SUM(J29:J40)</f>
        <v>344</v>
      </c>
    </row>
    <row r="41" spans="1:12" x14ac:dyDescent="0.2">
      <c r="A41" s="29"/>
      <c r="B41" s="30">
        <f>SUM(B29:B40)</f>
        <v>350</v>
      </c>
      <c r="C41" s="30">
        <f t="shared" ref="C41:J41" si="0">SUM(C29:C40)</f>
        <v>0</v>
      </c>
      <c r="D41" s="30">
        <f t="shared" si="0"/>
        <v>0</v>
      </c>
      <c r="E41" s="30">
        <f t="shared" si="0"/>
        <v>6</v>
      </c>
      <c r="F41" s="30">
        <f t="shared" si="0"/>
        <v>0</v>
      </c>
      <c r="G41" s="30">
        <f t="shared" si="0"/>
        <v>0</v>
      </c>
      <c r="H41" s="30">
        <f t="shared" si="0"/>
        <v>0</v>
      </c>
      <c r="I41" s="30"/>
      <c r="J41" s="30">
        <f t="shared" si="0"/>
        <v>0</v>
      </c>
      <c r="K41" s="31"/>
    </row>
    <row r="42" spans="1:12" x14ac:dyDescent="0.2">
      <c r="A42" s="29" t="s">
        <v>5</v>
      </c>
      <c r="B42" s="30">
        <f>B41-C41-D41-E41-F41-G41-H41+J41</f>
        <v>344</v>
      </c>
      <c r="C42" s="30"/>
      <c r="D42" s="30"/>
      <c r="E42" s="30"/>
      <c r="F42" s="30"/>
      <c r="G42" s="30"/>
      <c r="H42" s="30"/>
      <c r="I42" s="30"/>
      <c r="J42" s="30"/>
      <c r="K42" s="30"/>
    </row>
    <row r="43" spans="1:12" x14ac:dyDescent="0.2">
      <c r="A43" s="29" t="s">
        <v>15</v>
      </c>
      <c r="B43" s="32">
        <f>B42/Master!X3</f>
        <v>8.6E-3</v>
      </c>
      <c r="C43" s="29"/>
      <c r="D43" s="29"/>
      <c r="E43" s="29"/>
      <c r="F43" s="29"/>
      <c r="G43" s="29"/>
      <c r="H43" s="29"/>
      <c r="I43" s="29"/>
      <c r="J43" s="29"/>
      <c r="K43" s="29"/>
    </row>
    <row r="44" spans="1:12" x14ac:dyDescent="0.2">
      <c r="A44" s="24" t="s">
        <v>94</v>
      </c>
      <c r="B44" s="25">
        <f>B4+B42</f>
        <v>344</v>
      </c>
      <c r="C44" s="26" t="s">
        <v>101</v>
      </c>
      <c r="D44" s="27">
        <v>45657</v>
      </c>
      <c r="E44" s="24"/>
      <c r="F44" s="24"/>
      <c r="G44" s="24"/>
      <c r="H44" s="24"/>
      <c r="I44" s="24"/>
      <c r="J44" s="24"/>
      <c r="K44" s="24"/>
    </row>
  </sheetData>
  <pageMargins left="0.7" right="0.7" top="0.75" bottom="0.75" header="0.3" footer="0.3"/>
  <pageSetup orientation="portrait" horizontalDpi="1200" verticalDpi="1200" r:id="rId1"/>
  <headerFooter>
    <oddFooter>&amp;L&amp;1#&amp;"Arial"&amp;10&amp;K000000Non-Business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6A97-5F02-4367-B45A-11EA5B0E3346}">
  <sheetPr>
    <tabColor theme="4"/>
  </sheetPr>
  <dimension ref="A1:L44"/>
  <sheetViews>
    <sheetView workbookViewId="0">
      <pane ySplit="3" topLeftCell="A8" activePane="bottomLeft" state="frozen"/>
      <selection activeCell="D39" sqref="D39"/>
      <selection pane="bottomLeft" activeCell="C29" sqref="C29"/>
    </sheetView>
  </sheetViews>
  <sheetFormatPr defaultColWidth="8.609375" defaultRowHeight="15" x14ac:dyDescent="0.2"/>
  <cols>
    <col min="1" max="1" width="9.953125" customWidth="1"/>
    <col min="2" max="2" width="14.66015625" bestFit="1" customWidth="1"/>
    <col min="3" max="3" width="12.5078125" customWidth="1"/>
    <col min="4" max="4" width="11.1640625" bestFit="1" customWidth="1"/>
    <col min="5" max="5" width="12.23828125" bestFit="1" customWidth="1"/>
    <col min="6" max="6" width="13.71875" bestFit="1" customWidth="1"/>
    <col min="7" max="7" width="12.10546875" bestFit="1" customWidth="1"/>
    <col min="8" max="8" width="13.1796875" bestFit="1" customWidth="1"/>
    <col min="9" max="9" width="16.41015625" customWidth="1"/>
    <col min="10" max="10" width="12.23828125" bestFit="1" customWidth="1"/>
    <col min="11" max="11" width="10.625" bestFit="1" customWidth="1"/>
    <col min="12" max="12" width="13.71875" bestFit="1" customWidth="1"/>
  </cols>
  <sheetData>
    <row r="1" spans="1:12" x14ac:dyDescent="0.2">
      <c r="A1" s="79" t="s">
        <v>0</v>
      </c>
      <c r="B1" s="80" t="str">
        <f>Master!B3</f>
        <v>1407A</v>
      </c>
      <c r="C1" s="81" t="s">
        <v>38</v>
      </c>
      <c r="D1" s="80" t="str">
        <f>Master!J3</f>
        <v>P3-39</v>
      </c>
      <c r="E1" s="81" t="s">
        <v>2</v>
      </c>
      <c r="F1" s="80">
        <f>Master!N3</f>
        <v>1100297355</v>
      </c>
      <c r="G1" s="81" t="s">
        <v>27</v>
      </c>
      <c r="H1" s="82">
        <f>Master!O3</f>
        <v>15</v>
      </c>
      <c r="I1" s="83"/>
      <c r="J1" s="83"/>
      <c r="K1" s="65"/>
    </row>
    <row r="2" spans="1:12" ht="15.75" thickBot="1" x14ac:dyDescent="0.25">
      <c r="A2" s="84" t="s">
        <v>28</v>
      </c>
      <c r="B2" s="85">
        <f>Master!C3</f>
        <v>0</v>
      </c>
      <c r="C2" s="86" t="s">
        <v>34</v>
      </c>
      <c r="D2" s="85" t="str">
        <f>Master!I3</f>
        <v>3335 4746</v>
      </c>
      <c r="E2" s="86" t="s">
        <v>29</v>
      </c>
      <c r="F2" s="87">
        <f>Master!K3</f>
        <v>45597</v>
      </c>
      <c r="G2" s="86" t="s">
        <v>30</v>
      </c>
      <c r="H2" s="87">
        <f>Master!L3</f>
        <v>45961</v>
      </c>
      <c r="I2" s="88"/>
      <c r="J2" s="88"/>
      <c r="K2" s="89"/>
    </row>
    <row r="3" spans="1:12" x14ac:dyDescent="0.2">
      <c r="A3" s="28" t="s">
        <v>31</v>
      </c>
      <c r="B3" s="28" t="s">
        <v>32</v>
      </c>
      <c r="C3" s="28" t="s">
        <v>2</v>
      </c>
      <c r="D3" s="28" t="s">
        <v>33</v>
      </c>
      <c r="E3" s="28" t="s">
        <v>3</v>
      </c>
      <c r="F3" s="28" t="s">
        <v>93</v>
      </c>
      <c r="G3" s="28" t="s">
        <v>98</v>
      </c>
      <c r="H3" s="28" t="s">
        <v>96</v>
      </c>
      <c r="I3" s="28" t="s">
        <v>97</v>
      </c>
      <c r="J3" s="28" t="s">
        <v>95</v>
      </c>
      <c r="K3" s="28" t="s">
        <v>103</v>
      </c>
    </row>
    <row r="4" spans="1:12" x14ac:dyDescent="0.2">
      <c r="A4" s="24" t="s">
        <v>94</v>
      </c>
      <c r="B4" s="25">
        <v>0</v>
      </c>
      <c r="C4" s="26" t="s">
        <v>101</v>
      </c>
      <c r="D4" s="27">
        <v>45291</v>
      </c>
      <c r="E4" s="24"/>
      <c r="F4" s="24"/>
      <c r="G4" s="24"/>
      <c r="H4" s="24"/>
      <c r="I4" s="24"/>
      <c r="J4" s="24"/>
      <c r="K4" s="24"/>
    </row>
    <row r="5" spans="1:12" x14ac:dyDescent="0.2">
      <c r="A5" s="12">
        <v>45292</v>
      </c>
      <c r="B5" s="21">
        <v>350</v>
      </c>
      <c r="C5" s="22">
        <v>17.29</v>
      </c>
      <c r="D5" s="22"/>
      <c r="E5" s="22">
        <v>6</v>
      </c>
      <c r="F5" s="22"/>
      <c r="G5" s="22"/>
      <c r="H5" s="22"/>
      <c r="I5" s="22"/>
      <c r="J5" s="22">
        <f>IF((C5+D5)&gt;$H$1,(C5+D5)-$H$1,0)</f>
        <v>2.2899999999999991</v>
      </c>
      <c r="K5" s="23" t="s">
        <v>91</v>
      </c>
    </row>
    <row r="6" spans="1:12" x14ac:dyDescent="0.2">
      <c r="A6" s="13">
        <v>45323</v>
      </c>
      <c r="B6" s="9">
        <v>350</v>
      </c>
      <c r="C6" s="10">
        <v>15.61</v>
      </c>
      <c r="D6" s="10"/>
      <c r="E6" s="10">
        <v>6</v>
      </c>
      <c r="F6" s="10"/>
      <c r="G6" s="10"/>
      <c r="H6" s="10"/>
      <c r="I6" s="10"/>
      <c r="J6" s="10">
        <f>IF((C6+D6)&gt;$H$1,(C6+D6)-$H$1,0)</f>
        <v>0.60999999999999943</v>
      </c>
      <c r="K6" s="11" t="s">
        <v>91</v>
      </c>
    </row>
    <row r="7" spans="1:12" x14ac:dyDescent="0.2">
      <c r="A7" s="12">
        <v>45352</v>
      </c>
      <c r="B7" s="7">
        <v>350</v>
      </c>
      <c r="C7" s="8">
        <v>16.62</v>
      </c>
      <c r="D7" s="8"/>
      <c r="E7" s="22">
        <v>6</v>
      </c>
      <c r="F7" s="8"/>
      <c r="G7" s="8"/>
      <c r="H7" s="8"/>
      <c r="I7" s="8"/>
      <c r="J7" s="8">
        <f>IF((C7+D7)&gt;$H$1,(C7+D7)-$H$1,0)</f>
        <v>1.620000000000001</v>
      </c>
      <c r="K7" s="6" t="s">
        <v>91</v>
      </c>
    </row>
    <row r="8" spans="1:12" x14ac:dyDescent="0.2">
      <c r="A8" s="13">
        <v>45383</v>
      </c>
      <c r="B8" s="9">
        <v>350</v>
      </c>
      <c r="C8" s="10">
        <v>11.21</v>
      </c>
      <c r="D8" s="10"/>
      <c r="E8" s="10">
        <v>6</v>
      </c>
      <c r="F8" s="10"/>
      <c r="G8" s="10"/>
      <c r="H8" s="10"/>
      <c r="I8" s="10"/>
      <c r="J8" s="10">
        <f>IF((C8+D8)&gt;$H$1,(C8+D8)-$H$1,0)</f>
        <v>0</v>
      </c>
      <c r="K8" s="11"/>
    </row>
    <row r="9" spans="1:12" x14ac:dyDescent="0.2">
      <c r="A9" s="12">
        <v>45413</v>
      </c>
      <c r="B9" s="7">
        <v>350</v>
      </c>
      <c r="C9" s="8">
        <v>18.420000000000002</v>
      </c>
      <c r="D9" s="8"/>
      <c r="E9" s="22">
        <v>6</v>
      </c>
      <c r="F9" s="8"/>
      <c r="G9" s="8"/>
      <c r="H9" s="8"/>
      <c r="I9" s="8"/>
      <c r="J9" s="8">
        <f>IF((C9+D9)&gt;$H$1,(C9+D9)-$H$1,0)</f>
        <v>3.4200000000000017</v>
      </c>
      <c r="K9" s="6" t="s">
        <v>91</v>
      </c>
    </row>
    <row r="10" spans="1:12" x14ac:dyDescent="0.2">
      <c r="A10" s="13">
        <v>45444</v>
      </c>
      <c r="B10" s="9">
        <v>350</v>
      </c>
      <c r="C10" s="10">
        <v>38.450000000000003</v>
      </c>
      <c r="D10" s="10"/>
      <c r="E10" s="10">
        <v>6</v>
      </c>
      <c r="F10" s="10"/>
      <c r="G10" s="10"/>
      <c r="H10" s="10"/>
      <c r="I10" s="10"/>
      <c r="J10" s="10">
        <f>IF((C10+D10)&gt;$H$1,(C10+D10)-$H$1,0)</f>
        <v>23.450000000000003</v>
      </c>
      <c r="K10" s="11" t="s">
        <v>91</v>
      </c>
    </row>
    <row r="11" spans="1:12" x14ac:dyDescent="0.2">
      <c r="A11" s="12">
        <v>45474</v>
      </c>
      <c r="B11" s="7">
        <v>350</v>
      </c>
      <c r="C11" s="8">
        <v>43.48</v>
      </c>
      <c r="D11" s="8"/>
      <c r="E11" s="22">
        <v>6</v>
      </c>
      <c r="F11" s="8"/>
      <c r="G11" s="8"/>
      <c r="H11" s="8"/>
      <c r="I11" s="8"/>
      <c r="J11" s="8">
        <f>IF((C11+D11)&gt;$H$1,(C11+D11)-$H$1,0)</f>
        <v>28.479999999999997</v>
      </c>
      <c r="K11" s="6" t="s">
        <v>91</v>
      </c>
    </row>
    <row r="12" spans="1:12" x14ac:dyDescent="0.2">
      <c r="A12" s="13">
        <v>45505</v>
      </c>
      <c r="B12" s="9">
        <v>350</v>
      </c>
      <c r="C12" s="10">
        <v>10.83</v>
      </c>
      <c r="D12" s="10"/>
      <c r="E12" s="10">
        <v>6</v>
      </c>
      <c r="F12" s="10"/>
      <c r="G12" s="10"/>
      <c r="H12" s="10"/>
      <c r="I12" s="10"/>
      <c r="J12" s="10">
        <f>IF((C12+D12)&gt;$H$1,(C12+D12)-$H$1,0)</f>
        <v>0</v>
      </c>
      <c r="K12" s="11"/>
    </row>
    <row r="13" spans="1:12" x14ac:dyDescent="0.2">
      <c r="A13" s="12">
        <v>45536</v>
      </c>
      <c r="B13" s="7">
        <v>350</v>
      </c>
      <c r="C13" s="8">
        <v>11.52</v>
      </c>
      <c r="D13" s="8"/>
      <c r="E13" s="22">
        <v>6</v>
      </c>
      <c r="F13" s="8"/>
      <c r="G13" s="8"/>
      <c r="H13" s="8"/>
      <c r="I13" s="8"/>
      <c r="J13" s="8">
        <f>IF((C13+D13)&gt;$H$1,(C13+D13)-$H$1,0)</f>
        <v>0</v>
      </c>
      <c r="K13" s="6"/>
    </row>
    <row r="14" spans="1:12" x14ac:dyDescent="0.2">
      <c r="A14" s="13">
        <v>45566</v>
      </c>
      <c r="B14" s="9">
        <v>350</v>
      </c>
      <c r="C14" s="10">
        <v>14.74</v>
      </c>
      <c r="D14" s="10"/>
      <c r="E14" s="10">
        <v>6</v>
      </c>
      <c r="F14" s="10"/>
      <c r="G14" s="10"/>
      <c r="H14" s="10">
        <v>350</v>
      </c>
      <c r="I14" s="10" t="s">
        <v>129</v>
      </c>
      <c r="J14" s="10">
        <f>IF((C14+D14)&gt;$H$1,(C14+D14)-$H$1,0)</f>
        <v>0</v>
      </c>
      <c r="K14" s="11"/>
    </row>
    <row r="15" spans="1:12" x14ac:dyDescent="0.2">
      <c r="A15" s="12">
        <v>45597</v>
      </c>
      <c r="B15" s="7">
        <v>700</v>
      </c>
      <c r="C15" s="8">
        <v>15</v>
      </c>
      <c r="D15" s="8"/>
      <c r="E15" s="22">
        <v>6</v>
      </c>
      <c r="F15" s="8"/>
      <c r="G15" s="8"/>
      <c r="H15" s="8">
        <v>350</v>
      </c>
      <c r="I15" s="8" t="s">
        <v>118</v>
      </c>
      <c r="J15" s="8">
        <f>IF((C15+D15)&gt;$H$1,(C15+D15)-$H$1,0)</f>
        <v>0</v>
      </c>
      <c r="K15" s="6"/>
    </row>
    <row r="16" spans="1:12" ht="15.75" thickBot="1" x14ac:dyDescent="0.25">
      <c r="A16" s="13">
        <v>45627</v>
      </c>
      <c r="B16" s="9">
        <v>350</v>
      </c>
      <c r="C16" s="10">
        <v>14.93</v>
      </c>
      <c r="D16" s="10"/>
      <c r="E16" s="10">
        <v>6</v>
      </c>
      <c r="F16" s="10"/>
      <c r="G16" s="10"/>
      <c r="H16" s="10"/>
      <c r="I16" s="10"/>
      <c r="J16" s="10">
        <f>IF((C16+D16)&gt;$H$1,(C16+D16)-$H$1,0)</f>
        <v>0</v>
      </c>
      <c r="K16" s="11"/>
      <c r="L16" s="25">
        <f>SUM(B5:B16)-SUM(C5:C16)-SUM(D5:D16)-SUM(E5:E16)-SUM(F5:F16)-SUM(G5:G16)-SUM(H5:H16)+SUM(J5:J16)</f>
        <v>3609.7699999999995</v>
      </c>
    </row>
    <row r="17" spans="1:12" x14ac:dyDescent="0.2">
      <c r="A17" s="62">
        <v>45658</v>
      </c>
      <c r="B17" s="66">
        <v>350</v>
      </c>
      <c r="C17" s="67">
        <v>9.07</v>
      </c>
      <c r="D17" s="67"/>
      <c r="E17" s="67">
        <v>6</v>
      </c>
      <c r="F17" s="67"/>
      <c r="G17" s="67"/>
      <c r="H17" s="67"/>
      <c r="I17" s="67"/>
      <c r="J17" s="67">
        <f>IF(C17&gt;$H$1,C17-$H$1,0)</f>
        <v>0</v>
      </c>
      <c r="K17" s="68"/>
    </row>
    <row r="18" spans="1:12" x14ac:dyDescent="0.2">
      <c r="A18" s="54">
        <v>45689</v>
      </c>
      <c r="B18" s="55">
        <v>350</v>
      </c>
      <c r="C18" s="56">
        <v>13.98</v>
      </c>
      <c r="D18" s="56"/>
      <c r="E18" s="56">
        <v>6</v>
      </c>
      <c r="F18" s="56"/>
      <c r="G18" s="56"/>
      <c r="H18" s="56">
        <v>231.55</v>
      </c>
      <c r="I18" s="56" t="s">
        <v>121</v>
      </c>
      <c r="J18" s="56">
        <f>IF(C18&gt;$H$1,C18-$H$1,0)</f>
        <v>0</v>
      </c>
      <c r="K18" s="57"/>
    </row>
    <row r="19" spans="1:12" x14ac:dyDescent="0.2">
      <c r="A19" s="50">
        <v>45717</v>
      </c>
      <c r="B19" s="51">
        <v>350</v>
      </c>
      <c r="C19" s="52">
        <v>14.18</v>
      </c>
      <c r="D19" s="52"/>
      <c r="E19" s="52">
        <v>6</v>
      </c>
      <c r="F19" s="52"/>
      <c r="G19" s="52"/>
      <c r="H19" s="52"/>
      <c r="I19" s="52"/>
      <c r="J19" s="52">
        <f>IF(C19&gt;$H$1,C19-$H$1,0)</f>
        <v>0</v>
      </c>
      <c r="K19" s="53"/>
    </row>
    <row r="20" spans="1:12" x14ac:dyDescent="0.2">
      <c r="A20" s="54">
        <v>45748</v>
      </c>
      <c r="B20" s="55">
        <v>350</v>
      </c>
      <c r="C20" s="56">
        <v>11.84</v>
      </c>
      <c r="D20" s="56"/>
      <c r="E20" s="56">
        <v>6</v>
      </c>
      <c r="F20" s="56"/>
      <c r="G20" s="56"/>
      <c r="H20" s="56"/>
      <c r="I20" s="56"/>
      <c r="J20" s="56">
        <f>IF(C20&gt;$H$1,C20-$H$1,0)</f>
        <v>0</v>
      </c>
      <c r="K20" s="57"/>
    </row>
    <row r="21" spans="1:12" x14ac:dyDescent="0.2">
      <c r="A21" s="50">
        <v>45778</v>
      </c>
      <c r="B21" s="51">
        <v>350</v>
      </c>
      <c r="C21" s="52">
        <v>15.03</v>
      </c>
      <c r="D21" s="52"/>
      <c r="E21" s="52">
        <v>6</v>
      </c>
      <c r="F21" s="52"/>
      <c r="G21" s="52"/>
      <c r="H21" s="52"/>
      <c r="I21" s="52"/>
      <c r="J21" s="52">
        <f>IF(C21&gt;$H$1,C21-$H$1,0)</f>
        <v>2.9999999999999361E-2</v>
      </c>
      <c r="K21" s="53"/>
    </row>
    <row r="22" spans="1:12" x14ac:dyDescent="0.2">
      <c r="A22" s="54">
        <v>45809</v>
      </c>
      <c r="B22" s="55">
        <v>0</v>
      </c>
      <c r="C22" s="56">
        <v>14.3</v>
      </c>
      <c r="D22" s="56"/>
      <c r="E22" s="56">
        <v>6</v>
      </c>
      <c r="F22" s="56"/>
      <c r="G22" s="56"/>
      <c r="H22" s="56">
        <f>350-145</f>
        <v>205</v>
      </c>
      <c r="I22" s="10" t="s">
        <v>147</v>
      </c>
      <c r="J22" s="56">
        <f>IF(C22&gt;$H$1,C22-$H$1,0)</f>
        <v>0</v>
      </c>
      <c r="K22" s="57"/>
    </row>
    <row r="23" spans="1:12" x14ac:dyDescent="0.2">
      <c r="A23" s="50">
        <v>45839</v>
      </c>
      <c r="B23" s="51">
        <v>0</v>
      </c>
      <c r="C23" s="52">
        <v>9.44</v>
      </c>
      <c r="D23" s="52"/>
      <c r="E23" s="52">
        <v>6</v>
      </c>
      <c r="F23" s="52"/>
      <c r="G23" s="52"/>
      <c r="H23" s="52"/>
      <c r="I23" s="52"/>
      <c r="J23" s="52">
        <f>IF(C23&gt;$H$1,C23-$H$1,0)</f>
        <v>0</v>
      </c>
      <c r="K23" s="53"/>
    </row>
    <row r="24" spans="1:12" x14ac:dyDescent="0.2">
      <c r="A24" s="54">
        <v>45870</v>
      </c>
      <c r="B24" s="55">
        <v>0</v>
      </c>
      <c r="C24" s="56">
        <v>8.43</v>
      </c>
      <c r="D24" s="56"/>
      <c r="E24" s="56">
        <v>6</v>
      </c>
      <c r="F24" s="56"/>
      <c r="G24" s="56"/>
      <c r="H24" s="56"/>
      <c r="I24" s="56"/>
      <c r="J24" s="56">
        <f>IF(C24&gt;$H$1,C24-$H$1,0)</f>
        <v>0</v>
      </c>
      <c r="K24" s="57"/>
    </row>
    <row r="25" spans="1:12" x14ac:dyDescent="0.2">
      <c r="A25" s="50">
        <v>45901</v>
      </c>
      <c r="B25" s="51">
        <v>0</v>
      </c>
      <c r="C25" s="52">
        <v>7.24</v>
      </c>
      <c r="D25" s="52"/>
      <c r="E25" s="52">
        <v>6</v>
      </c>
      <c r="F25" s="52"/>
      <c r="G25" s="52"/>
      <c r="H25" s="52"/>
      <c r="I25" s="52"/>
      <c r="J25" s="52">
        <f>IF(C25&gt;$H$1,C25-$H$1,0)</f>
        <v>0</v>
      </c>
      <c r="K25" s="53"/>
    </row>
    <row r="26" spans="1:12" x14ac:dyDescent="0.2">
      <c r="A26" s="54">
        <v>45931</v>
      </c>
      <c r="B26" s="55">
        <v>0</v>
      </c>
      <c r="C26" s="56">
        <v>8.1999999999999993</v>
      </c>
      <c r="D26" s="56"/>
      <c r="E26" s="56">
        <v>6</v>
      </c>
      <c r="F26" s="56"/>
      <c r="G26" s="56"/>
      <c r="H26" s="56"/>
      <c r="I26" s="56"/>
      <c r="J26" s="56">
        <f>IF(C26&gt;$H$1,C26-$H$1,0)</f>
        <v>0</v>
      </c>
      <c r="K26" s="57"/>
    </row>
    <row r="27" spans="1:12" x14ac:dyDescent="0.2">
      <c r="A27" s="50">
        <v>45962</v>
      </c>
      <c r="B27" s="51">
        <v>0</v>
      </c>
      <c r="C27" s="52">
        <v>5.85</v>
      </c>
      <c r="D27" s="52"/>
      <c r="E27" s="52">
        <v>6</v>
      </c>
      <c r="F27" s="52"/>
      <c r="G27" s="52"/>
      <c r="H27" s="52">
        <v>3</v>
      </c>
      <c r="I27" s="52" t="s">
        <v>167</v>
      </c>
      <c r="J27" s="52">
        <f>IF(C27&gt;$H$1,C27-$H$1,0)</f>
        <v>0</v>
      </c>
      <c r="K27" s="53"/>
    </row>
    <row r="28" spans="1:12" ht="15.75" thickBot="1" x14ac:dyDescent="0.25">
      <c r="A28" s="58">
        <v>45992</v>
      </c>
      <c r="B28" s="59">
        <v>0</v>
      </c>
      <c r="C28" s="60">
        <v>6.37</v>
      </c>
      <c r="D28" s="60"/>
      <c r="E28" s="60">
        <v>6</v>
      </c>
      <c r="F28" s="60"/>
      <c r="G28" s="60"/>
      <c r="H28" s="60"/>
      <c r="I28" s="60"/>
      <c r="J28" s="60">
        <f>IF(C28&gt;$H$1,C28-$H$1,0)</f>
        <v>0</v>
      </c>
      <c r="K28" s="61"/>
      <c r="L28" s="25">
        <f>SUM(B17:B28)-SUM(C17:C28)-SUM(D17:D28)-SUM(E17:E28)-SUM(F17:F28)-SUM(G17:G28)-SUM(H17:H28)+SUM(J17:J28)</f>
        <v>1114.55</v>
      </c>
    </row>
    <row r="29" spans="1:12" x14ac:dyDescent="0.2">
      <c r="A29" s="62">
        <v>46023</v>
      </c>
      <c r="B29" s="66">
        <v>0</v>
      </c>
      <c r="C29" s="67"/>
      <c r="D29" s="67"/>
      <c r="E29" s="67">
        <v>6</v>
      </c>
      <c r="F29" s="67"/>
      <c r="G29" s="67"/>
      <c r="H29" s="67"/>
      <c r="I29" s="67"/>
      <c r="J29" s="67">
        <f>IF(C29&gt;$H$1,C29-$H$1,0)</f>
        <v>0</v>
      </c>
      <c r="K29" s="68"/>
    </row>
    <row r="30" spans="1:12" x14ac:dyDescent="0.2">
      <c r="A30" s="54">
        <v>46054</v>
      </c>
      <c r="B30" s="55"/>
      <c r="C30" s="56"/>
      <c r="D30" s="56"/>
      <c r="E30" s="56"/>
      <c r="F30" s="56"/>
      <c r="G30" s="56"/>
      <c r="H30" s="56"/>
      <c r="I30" s="56"/>
      <c r="J30" s="56">
        <f>IF(C30&gt;$H$1,C30-$H$1,0)</f>
        <v>0</v>
      </c>
      <c r="K30" s="57"/>
    </row>
    <row r="31" spans="1:12" x14ac:dyDescent="0.2">
      <c r="A31" s="50">
        <v>46082</v>
      </c>
      <c r="B31" s="51"/>
      <c r="C31" s="52"/>
      <c r="D31" s="52"/>
      <c r="E31" s="52"/>
      <c r="F31" s="52"/>
      <c r="G31" s="52"/>
      <c r="H31" s="52"/>
      <c r="I31" s="52"/>
      <c r="J31" s="52">
        <f>IF(C31&gt;$H$1,C31-$H$1,0)</f>
        <v>0</v>
      </c>
      <c r="K31" s="53"/>
    </row>
    <row r="32" spans="1:12" x14ac:dyDescent="0.2">
      <c r="A32" s="54">
        <v>46113</v>
      </c>
      <c r="B32" s="55"/>
      <c r="C32" s="56"/>
      <c r="D32" s="56"/>
      <c r="E32" s="56"/>
      <c r="F32" s="56"/>
      <c r="G32" s="56"/>
      <c r="H32" s="56"/>
      <c r="I32" s="56"/>
      <c r="J32" s="56">
        <f>IF(C32&gt;$H$1,C32-$H$1,0)</f>
        <v>0</v>
      </c>
      <c r="K32" s="57"/>
    </row>
    <row r="33" spans="1:12" x14ac:dyDescent="0.2">
      <c r="A33" s="50">
        <v>46143</v>
      </c>
      <c r="B33" s="51"/>
      <c r="C33" s="52"/>
      <c r="D33" s="52"/>
      <c r="E33" s="52"/>
      <c r="F33" s="52"/>
      <c r="G33" s="52"/>
      <c r="H33" s="52"/>
      <c r="I33" s="52"/>
      <c r="J33" s="52">
        <f>IF(C33&gt;$H$1,C33-$H$1,0)</f>
        <v>0</v>
      </c>
      <c r="K33" s="53"/>
    </row>
    <row r="34" spans="1:12" x14ac:dyDescent="0.2">
      <c r="A34" s="54">
        <v>46174</v>
      </c>
      <c r="B34" s="55"/>
      <c r="C34" s="56"/>
      <c r="D34" s="56"/>
      <c r="E34" s="56"/>
      <c r="F34" s="56"/>
      <c r="G34" s="56"/>
      <c r="H34" s="56"/>
      <c r="I34" s="56"/>
      <c r="J34" s="56">
        <f>IF(C34&gt;$H$1,C34-$H$1,0)</f>
        <v>0</v>
      </c>
      <c r="K34" s="57"/>
    </row>
    <row r="35" spans="1:12" x14ac:dyDescent="0.2">
      <c r="A35" s="50">
        <v>46204</v>
      </c>
      <c r="B35" s="51"/>
      <c r="C35" s="52"/>
      <c r="D35" s="52"/>
      <c r="E35" s="52"/>
      <c r="F35" s="52"/>
      <c r="G35" s="52"/>
      <c r="H35" s="52"/>
      <c r="I35" s="52"/>
      <c r="J35" s="52">
        <f>IF(C35&gt;$H$1,C35-$H$1,0)</f>
        <v>0</v>
      </c>
      <c r="K35" s="53"/>
    </row>
    <row r="36" spans="1:12" x14ac:dyDescent="0.2">
      <c r="A36" s="54">
        <v>46235</v>
      </c>
      <c r="B36" s="55"/>
      <c r="C36" s="56"/>
      <c r="D36" s="56"/>
      <c r="E36" s="56"/>
      <c r="F36" s="56"/>
      <c r="G36" s="56"/>
      <c r="H36" s="56"/>
      <c r="I36" s="56"/>
      <c r="J36" s="56">
        <f>IF(C36&gt;$H$1,C36-$H$1,0)</f>
        <v>0</v>
      </c>
      <c r="K36" s="57"/>
    </row>
    <row r="37" spans="1:12" x14ac:dyDescent="0.2">
      <c r="A37" s="50">
        <v>46266</v>
      </c>
      <c r="B37" s="51"/>
      <c r="C37" s="52"/>
      <c r="D37" s="52"/>
      <c r="E37" s="52"/>
      <c r="F37" s="52"/>
      <c r="G37" s="52"/>
      <c r="H37" s="52"/>
      <c r="I37" s="52"/>
      <c r="J37" s="52">
        <f>IF(C37&gt;$H$1,C37-$H$1,0)</f>
        <v>0</v>
      </c>
      <c r="K37" s="53"/>
    </row>
    <row r="38" spans="1:12" x14ac:dyDescent="0.2">
      <c r="A38" s="54">
        <v>46296</v>
      </c>
      <c r="B38" s="55"/>
      <c r="C38" s="56"/>
      <c r="D38" s="56"/>
      <c r="E38" s="56"/>
      <c r="F38" s="56"/>
      <c r="G38" s="56"/>
      <c r="H38" s="56"/>
      <c r="I38" s="56"/>
      <c r="J38" s="56">
        <f>IF(C38&gt;$H$1,C38-$H$1,0)</f>
        <v>0</v>
      </c>
      <c r="K38" s="57"/>
    </row>
    <row r="39" spans="1:12" x14ac:dyDescent="0.2">
      <c r="A39" s="50">
        <v>46327</v>
      </c>
      <c r="B39" s="51"/>
      <c r="C39" s="52"/>
      <c r="D39" s="52"/>
      <c r="E39" s="52"/>
      <c r="F39" s="52"/>
      <c r="G39" s="52"/>
      <c r="H39" s="52"/>
      <c r="I39" s="52"/>
      <c r="J39" s="52">
        <f>IF(C39&gt;$H$1,C39-$H$1,0)</f>
        <v>0</v>
      </c>
      <c r="K39" s="53"/>
    </row>
    <row r="40" spans="1:12" ht="15.75" thickBot="1" x14ac:dyDescent="0.25">
      <c r="A40" s="58">
        <v>46357</v>
      </c>
      <c r="B40" s="59"/>
      <c r="C40" s="60"/>
      <c r="D40" s="60"/>
      <c r="E40" s="60"/>
      <c r="F40" s="60"/>
      <c r="G40" s="60"/>
      <c r="H40" s="60"/>
      <c r="I40" s="60"/>
      <c r="J40" s="60">
        <f>IF(C40&gt;$H$1,C40-$H$1,0)</f>
        <v>0</v>
      </c>
      <c r="K40" s="61"/>
      <c r="L40" s="25">
        <f>SUM(B29:B40)-SUM(C29:C40)-SUM(D29:D40)-SUM(E29:E40)-SUM(F29:F40)-SUM(G29:G40)-SUM(H29:H40)+SUM(J29:J40)</f>
        <v>-6</v>
      </c>
    </row>
    <row r="41" spans="1:12" x14ac:dyDescent="0.2">
      <c r="A41" s="29"/>
      <c r="B41" s="30">
        <f>SUM(B29:B40)</f>
        <v>0</v>
      </c>
      <c r="C41" s="30">
        <f t="shared" ref="C41:J41" si="0">SUM(C29:C40)</f>
        <v>0</v>
      </c>
      <c r="D41" s="30">
        <f t="shared" si="0"/>
        <v>0</v>
      </c>
      <c r="E41" s="30">
        <f t="shared" si="0"/>
        <v>6</v>
      </c>
      <c r="F41" s="30">
        <f t="shared" si="0"/>
        <v>0</v>
      </c>
      <c r="G41" s="30">
        <f t="shared" si="0"/>
        <v>0</v>
      </c>
      <c r="H41" s="30">
        <f t="shared" si="0"/>
        <v>0</v>
      </c>
      <c r="I41" s="30"/>
      <c r="J41" s="30">
        <f t="shared" si="0"/>
        <v>0</v>
      </c>
      <c r="K41" s="31"/>
    </row>
    <row r="42" spans="1:12" x14ac:dyDescent="0.2">
      <c r="A42" s="29" t="s">
        <v>5</v>
      </c>
      <c r="B42" s="30">
        <f>B41-C41-D41-E41-F41-G41-H41+J41</f>
        <v>-6</v>
      </c>
      <c r="C42" s="30"/>
      <c r="D42" s="30"/>
      <c r="E42" s="30"/>
      <c r="F42" s="30"/>
      <c r="G42" s="30"/>
      <c r="H42" s="30"/>
      <c r="I42" s="30"/>
      <c r="J42" s="30"/>
      <c r="K42" s="30"/>
    </row>
    <row r="43" spans="1:12" x14ac:dyDescent="0.2">
      <c r="A43" s="29" t="s">
        <v>15</v>
      </c>
      <c r="B43" s="32">
        <f>B42/Master!X3</f>
        <v>-1.4999999999999999E-4</v>
      </c>
      <c r="C43" s="29"/>
      <c r="D43" s="29"/>
      <c r="E43" s="29"/>
      <c r="F43" s="29"/>
      <c r="G43" s="29"/>
      <c r="H43" s="29"/>
      <c r="I43" s="29"/>
      <c r="J43" s="29"/>
      <c r="K43" s="29"/>
    </row>
    <row r="44" spans="1:12" x14ac:dyDescent="0.2">
      <c r="A44" s="24" t="s">
        <v>94</v>
      </c>
      <c r="B44" s="25">
        <f>B4+B42</f>
        <v>-6</v>
      </c>
      <c r="C44" s="26" t="s">
        <v>101</v>
      </c>
      <c r="D44" s="27">
        <v>45657</v>
      </c>
      <c r="E44" s="24"/>
      <c r="F44" s="24"/>
      <c r="G44" s="24"/>
      <c r="H44" s="24"/>
      <c r="I44" s="24"/>
      <c r="J44" s="24"/>
      <c r="K44" s="24"/>
    </row>
  </sheetData>
  <pageMargins left="0.7" right="0.7" top="0.75" bottom="0.75" header="0.3" footer="0.3"/>
  <pageSetup orientation="portrait" horizontalDpi="1200" verticalDpi="1200" r:id="rId1"/>
  <headerFooter>
    <oddFooter>&amp;L&amp;1#&amp;"Arial"&amp;10&amp;K000000Non-Business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BA9E-C061-4662-836B-A20F86D0595C}">
  <sheetPr>
    <tabColor theme="4"/>
  </sheetPr>
  <dimension ref="A1:U44"/>
  <sheetViews>
    <sheetView workbookViewId="0">
      <pane ySplit="3" topLeftCell="A4" activePane="bottomLeft" state="frozen"/>
      <selection activeCell="D35" sqref="D35"/>
      <selection pane="bottomLeft" activeCell="C29" sqref="C29"/>
    </sheetView>
  </sheetViews>
  <sheetFormatPr defaultColWidth="8.609375" defaultRowHeight="15" x14ac:dyDescent="0.2"/>
  <cols>
    <col min="1" max="1" width="9.953125" customWidth="1"/>
    <col min="2" max="2" width="13.71875" bestFit="1" customWidth="1"/>
    <col min="3" max="3" width="12.9140625" bestFit="1" customWidth="1"/>
    <col min="4" max="6" width="12.23828125" bestFit="1" customWidth="1"/>
    <col min="7" max="7" width="12.23828125" customWidth="1"/>
    <col min="8" max="8" width="14.390625" bestFit="1" customWidth="1"/>
    <col min="9" max="9" width="18.83203125" bestFit="1" customWidth="1"/>
    <col min="10" max="10" width="12.23828125" bestFit="1" customWidth="1"/>
    <col min="11" max="11" width="10.625" bestFit="1" customWidth="1"/>
    <col min="12" max="12" width="13.71875" bestFit="1" customWidth="1"/>
    <col min="19" max="19" width="14.125" customWidth="1"/>
    <col min="21" max="21" width="15.46875" customWidth="1"/>
  </cols>
  <sheetData>
    <row r="1" spans="1:21" x14ac:dyDescent="0.2">
      <c r="A1" s="79" t="s">
        <v>0</v>
      </c>
      <c r="B1" s="80" t="str">
        <f>Master!B4</f>
        <v>1306B</v>
      </c>
      <c r="C1" s="81" t="s">
        <v>38</v>
      </c>
      <c r="D1" s="80" t="str">
        <f>Master!J4</f>
        <v>P6-19</v>
      </c>
      <c r="E1" s="81" t="s">
        <v>2</v>
      </c>
      <c r="F1" s="80">
        <f>Master!N4</f>
        <v>1100318912</v>
      </c>
      <c r="G1" s="81" t="s">
        <v>27</v>
      </c>
      <c r="H1" s="82">
        <f>Master!O4</f>
        <v>20</v>
      </c>
      <c r="I1" s="83"/>
      <c r="J1" s="83"/>
      <c r="K1" s="65"/>
      <c r="Q1" s="79" t="s">
        <v>0</v>
      </c>
      <c r="R1" s="80" t="s">
        <v>16</v>
      </c>
      <c r="S1" s="81"/>
      <c r="T1" s="81" t="s">
        <v>2</v>
      </c>
      <c r="U1" s="121">
        <v>1100318912</v>
      </c>
    </row>
    <row r="2" spans="1:21" ht="15.75" thickBot="1" x14ac:dyDescent="0.25">
      <c r="A2" s="84" t="s">
        <v>28</v>
      </c>
      <c r="B2" s="85" t="str">
        <f>Master!C4</f>
        <v>Zahraa</v>
      </c>
      <c r="C2" s="86" t="s">
        <v>34</v>
      </c>
      <c r="D2" s="85" t="str">
        <f>Master!I4</f>
        <v>6666 8989</v>
      </c>
      <c r="E2" s="86" t="s">
        <v>29</v>
      </c>
      <c r="F2" s="87">
        <f>Master!K4</f>
        <v>45210</v>
      </c>
      <c r="G2" s="86" t="s">
        <v>30</v>
      </c>
      <c r="H2" s="87">
        <f>Master!L4</f>
        <v>46305</v>
      </c>
      <c r="I2" s="88"/>
      <c r="J2" s="88"/>
      <c r="K2" s="89"/>
      <c r="Q2" s="84" t="s">
        <v>28</v>
      </c>
      <c r="R2" s="85" t="s">
        <v>26</v>
      </c>
      <c r="S2" s="86"/>
      <c r="T2" s="122" t="s">
        <v>27</v>
      </c>
      <c r="U2" s="123">
        <v>20</v>
      </c>
    </row>
    <row r="3" spans="1:21" ht="15.75" thickBot="1" x14ac:dyDescent="0.25">
      <c r="A3" s="28" t="s">
        <v>31</v>
      </c>
      <c r="B3" s="28" t="s">
        <v>32</v>
      </c>
      <c r="C3" s="28" t="s">
        <v>2</v>
      </c>
      <c r="D3" s="28" t="s">
        <v>33</v>
      </c>
      <c r="E3" s="28" t="s">
        <v>3</v>
      </c>
      <c r="F3" s="28" t="s">
        <v>93</v>
      </c>
      <c r="G3" s="28" t="s">
        <v>98</v>
      </c>
      <c r="H3" s="28" t="s">
        <v>96</v>
      </c>
      <c r="I3" s="28" t="s">
        <v>97</v>
      </c>
      <c r="J3" s="28" t="s">
        <v>95</v>
      </c>
      <c r="K3" s="28" t="s">
        <v>103</v>
      </c>
      <c r="Q3" s="124" t="s">
        <v>31</v>
      </c>
      <c r="R3" s="125"/>
      <c r="S3" s="125" t="s">
        <v>2</v>
      </c>
      <c r="T3" s="125"/>
      <c r="U3" s="126" t="s">
        <v>95</v>
      </c>
    </row>
    <row r="4" spans="1:21" x14ac:dyDescent="0.2">
      <c r="A4" s="24" t="s">
        <v>94</v>
      </c>
      <c r="B4" s="25">
        <v>0</v>
      </c>
      <c r="C4" s="26" t="s">
        <v>101</v>
      </c>
      <c r="D4" s="27">
        <v>45291</v>
      </c>
      <c r="E4" s="24"/>
      <c r="F4" s="24"/>
      <c r="G4" s="24"/>
      <c r="H4" s="24"/>
      <c r="I4" s="24"/>
      <c r="J4" s="24"/>
      <c r="K4" s="24"/>
      <c r="Q4" s="62">
        <v>45778</v>
      </c>
      <c r="R4" s="63"/>
      <c r="S4" s="64">
        <v>28.7</v>
      </c>
      <c r="T4" s="64"/>
      <c r="U4" s="110">
        <v>8.6999999999999993</v>
      </c>
    </row>
    <row r="5" spans="1:21" x14ac:dyDescent="0.2">
      <c r="A5" s="12">
        <v>45292</v>
      </c>
      <c r="B5" s="21">
        <v>480</v>
      </c>
      <c r="C5" s="22">
        <v>10.55</v>
      </c>
      <c r="D5" s="22">
        <v>0</v>
      </c>
      <c r="E5" s="22">
        <v>0</v>
      </c>
      <c r="F5" s="22">
        <v>0</v>
      </c>
      <c r="G5" s="22"/>
      <c r="H5" s="22"/>
      <c r="I5" s="22"/>
      <c r="J5" s="22">
        <f>IF((C5+D5)&gt;$H$1,(C5+D5)-$H$1,0)</f>
        <v>0</v>
      </c>
      <c r="K5" s="23"/>
      <c r="Q5" s="54">
        <v>45809</v>
      </c>
      <c r="R5" s="55"/>
      <c r="S5" s="56">
        <v>37.31</v>
      </c>
      <c r="T5" s="56"/>
      <c r="U5" s="111">
        <v>17.310000000000002</v>
      </c>
    </row>
    <row r="6" spans="1:21" x14ac:dyDescent="0.2">
      <c r="A6" s="13">
        <v>45323</v>
      </c>
      <c r="B6" s="9">
        <v>480</v>
      </c>
      <c r="C6" s="10">
        <v>14.35</v>
      </c>
      <c r="D6" s="10">
        <v>0</v>
      </c>
      <c r="E6" s="10">
        <v>0</v>
      </c>
      <c r="F6" s="10">
        <v>0</v>
      </c>
      <c r="G6" s="10"/>
      <c r="H6" s="56">
        <v>463.1</v>
      </c>
      <c r="I6" s="56" t="s">
        <v>121</v>
      </c>
      <c r="J6" s="10">
        <f>IF((C6+D6)&gt;$H$1,(C6+D6)-$H$1,0)</f>
        <v>0</v>
      </c>
      <c r="K6" s="11"/>
      <c r="Q6" s="50">
        <v>45839</v>
      </c>
      <c r="R6" s="51"/>
      <c r="S6" s="52">
        <v>35.28</v>
      </c>
      <c r="T6" s="52"/>
      <c r="U6" s="112">
        <v>15.280000000000001</v>
      </c>
    </row>
    <row r="7" spans="1:21" x14ac:dyDescent="0.2">
      <c r="A7" s="12">
        <v>45352</v>
      </c>
      <c r="B7" s="21">
        <v>480</v>
      </c>
      <c r="C7" s="8">
        <v>10</v>
      </c>
      <c r="D7" s="8">
        <v>0</v>
      </c>
      <c r="E7" s="22">
        <v>0</v>
      </c>
      <c r="F7" s="8">
        <v>0</v>
      </c>
      <c r="G7" s="8"/>
      <c r="H7" s="8"/>
      <c r="I7" s="8"/>
      <c r="J7" s="8">
        <f>IF((C7+D7)&gt;$H$1,(C7+D7)-$H$1,0)</f>
        <v>0</v>
      </c>
      <c r="K7" s="6"/>
      <c r="Q7" s="54">
        <v>45870</v>
      </c>
      <c r="R7" s="55"/>
      <c r="S7" s="56">
        <v>44.6</v>
      </c>
      <c r="T7" s="56"/>
      <c r="U7" s="111">
        <v>24.6</v>
      </c>
    </row>
    <row r="8" spans="1:21" x14ac:dyDescent="0.2">
      <c r="A8" s="13">
        <v>45383</v>
      </c>
      <c r="B8" s="9">
        <v>480</v>
      </c>
      <c r="C8" s="10">
        <v>11.54</v>
      </c>
      <c r="D8" s="10">
        <v>0</v>
      </c>
      <c r="E8" s="10">
        <v>0</v>
      </c>
      <c r="F8" s="10">
        <v>0</v>
      </c>
      <c r="G8" s="10"/>
      <c r="H8" s="10"/>
      <c r="I8" s="10"/>
      <c r="J8" s="10">
        <f>IF((C8+D8)&gt;$H$1,(C8+D8)-$H$1,0)</f>
        <v>0</v>
      </c>
      <c r="K8" s="11"/>
      <c r="Q8" s="50">
        <v>45901</v>
      </c>
      <c r="R8" s="51"/>
      <c r="S8" s="52">
        <v>40.99</v>
      </c>
      <c r="T8" s="52"/>
      <c r="U8" s="112">
        <v>20.990000000000002</v>
      </c>
    </row>
    <row r="9" spans="1:21" x14ac:dyDescent="0.2">
      <c r="A9" s="12">
        <v>45413</v>
      </c>
      <c r="B9" s="21">
        <v>480</v>
      </c>
      <c r="C9" s="8">
        <v>17.59</v>
      </c>
      <c r="D9" s="8">
        <v>0</v>
      </c>
      <c r="E9" s="22">
        <v>0</v>
      </c>
      <c r="F9" s="8">
        <v>0</v>
      </c>
      <c r="G9" s="8"/>
      <c r="H9" s="8"/>
      <c r="I9" s="8"/>
      <c r="J9" s="8">
        <f>IF((C9+D9)&gt;$H$1,(C9+D9)-$H$1,0)</f>
        <v>0</v>
      </c>
      <c r="K9" s="6"/>
      <c r="Q9" s="54">
        <v>45931</v>
      </c>
      <c r="R9" s="55"/>
      <c r="S9" s="56">
        <v>33.880000000000003</v>
      </c>
      <c r="T9" s="56"/>
      <c r="U9" s="111">
        <v>13.880000000000003</v>
      </c>
    </row>
    <row r="10" spans="1:21" ht="15.75" thickBot="1" x14ac:dyDescent="0.25">
      <c r="A10" s="13">
        <v>45444</v>
      </c>
      <c r="B10" s="9">
        <v>480</v>
      </c>
      <c r="C10" s="10">
        <v>40.26</v>
      </c>
      <c r="D10" s="10">
        <v>0</v>
      </c>
      <c r="E10" s="10">
        <v>0</v>
      </c>
      <c r="F10" s="10">
        <v>0</v>
      </c>
      <c r="G10" s="10"/>
      <c r="H10" s="10"/>
      <c r="I10" s="10"/>
      <c r="J10" s="10">
        <f>IF((C10+D10)&gt;$H$1,(C10+D10)-$H$1,0)</f>
        <v>20.259999999999998</v>
      </c>
      <c r="K10" s="11" t="s">
        <v>91</v>
      </c>
      <c r="Q10" s="50">
        <v>45962</v>
      </c>
      <c r="R10" s="51"/>
      <c r="S10" s="52">
        <v>26.58</v>
      </c>
      <c r="T10" s="52"/>
      <c r="U10" s="112">
        <v>6.5799999999999983</v>
      </c>
    </row>
    <row r="11" spans="1:21" ht="15.75" thickBot="1" x14ac:dyDescent="0.25">
      <c r="A11" s="12">
        <v>45474</v>
      </c>
      <c r="B11" s="21">
        <v>480</v>
      </c>
      <c r="C11" s="8">
        <v>46.29</v>
      </c>
      <c r="D11" s="8">
        <v>0</v>
      </c>
      <c r="E11" s="22">
        <v>0</v>
      </c>
      <c r="F11" s="8">
        <v>0</v>
      </c>
      <c r="G11" s="8"/>
      <c r="H11" s="8"/>
      <c r="I11" s="8"/>
      <c r="J11" s="8">
        <f>IF((C11+D11)&gt;$H$1,(C11+D11)-$H$1,0)</f>
        <v>26.29</v>
      </c>
      <c r="K11" s="6" t="s">
        <v>91</v>
      </c>
      <c r="Q11" s="117"/>
      <c r="R11" s="118"/>
      <c r="S11" s="119"/>
      <c r="T11" s="119"/>
      <c r="U11" s="120">
        <v>107.34000000000002</v>
      </c>
    </row>
    <row r="12" spans="1:21" x14ac:dyDescent="0.2">
      <c r="A12" s="13">
        <v>45505</v>
      </c>
      <c r="B12" s="9">
        <v>480</v>
      </c>
      <c r="C12" s="10">
        <v>43.74</v>
      </c>
      <c r="D12" s="10">
        <v>0</v>
      </c>
      <c r="E12" s="10">
        <v>0</v>
      </c>
      <c r="F12" s="10">
        <v>0</v>
      </c>
      <c r="G12" s="10"/>
      <c r="H12" s="10"/>
      <c r="I12" s="10"/>
      <c r="J12" s="10">
        <f>IF((C12+D12)&gt;$H$1,(C12+D12)-$H$1,0)</f>
        <v>23.740000000000002</v>
      </c>
      <c r="K12" s="11" t="s">
        <v>91</v>
      </c>
    </row>
    <row r="13" spans="1:21" x14ac:dyDescent="0.2">
      <c r="A13" s="12">
        <v>45536</v>
      </c>
      <c r="B13" s="21">
        <v>480</v>
      </c>
      <c r="C13" s="8">
        <v>34.700000000000003</v>
      </c>
      <c r="D13" s="8">
        <v>0</v>
      </c>
      <c r="E13" s="22">
        <v>0</v>
      </c>
      <c r="F13" s="8">
        <v>0</v>
      </c>
      <c r="G13" s="8"/>
      <c r="H13" s="8"/>
      <c r="I13" s="8"/>
      <c r="J13" s="8">
        <f>IF((C13+D13)&gt;$H$1,(C13+D13)-$H$1,0)</f>
        <v>14.700000000000003</v>
      </c>
      <c r="K13" s="6" t="s">
        <v>91</v>
      </c>
    </row>
    <row r="14" spans="1:21" x14ac:dyDescent="0.2">
      <c r="A14" s="13">
        <v>45566</v>
      </c>
      <c r="B14" s="9">
        <v>480</v>
      </c>
      <c r="C14" s="10">
        <v>28.41</v>
      </c>
      <c r="D14" s="10">
        <v>0</v>
      </c>
      <c r="E14" s="10">
        <v>0</v>
      </c>
      <c r="F14" s="10">
        <v>0</v>
      </c>
      <c r="G14" s="10"/>
      <c r="H14" s="10"/>
      <c r="I14" s="10"/>
      <c r="J14" s="10">
        <f>IF((C14+D14)&gt;$H$1,(C14+D14)-$H$1,0)</f>
        <v>8.41</v>
      </c>
      <c r="K14" s="11" t="s">
        <v>91</v>
      </c>
    </row>
    <row r="15" spans="1:21" x14ac:dyDescent="0.2">
      <c r="A15" s="12">
        <v>45597</v>
      </c>
      <c r="B15" s="21">
        <v>480</v>
      </c>
      <c r="C15" s="8">
        <v>21.38</v>
      </c>
      <c r="D15" s="8">
        <v>0</v>
      </c>
      <c r="E15" s="22">
        <v>0</v>
      </c>
      <c r="F15" s="8">
        <v>0</v>
      </c>
      <c r="G15" s="8"/>
      <c r="H15" s="8"/>
      <c r="I15" s="8"/>
      <c r="J15" s="8">
        <f>IF((C15+D15)&gt;$H$1,(C15+D15)-$H$1,0)</f>
        <v>1.379999999999999</v>
      </c>
      <c r="K15" s="6" t="s">
        <v>91</v>
      </c>
    </row>
    <row r="16" spans="1:21" ht="15.75" thickBot="1" x14ac:dyDescent="0.25">
      <c r="A16" s="13">
        <v>45627</v>
      </c>
      <c r="B16" s="9">
        <v>480</v>
      </c>
      <c r="C16" s="10">
        <v>14.35</v>
      </c>
      <c r="D16" s="10">
        <v>0</v>
      </c>
      <c r="E16" s="10">
        <v>0</v>
      </c>
      <c r="F16" s="10">
        <v>0</v>
      </c>
      <c r="G16" s="10"/>
      <c r="H16" s="10"/>
      <c r="I16" s="10"/>
      <c r="J16" s="10">
        <f>IF((C16+D16)&gt;$H$1,(C16+D16)-$H$1,0)</f>
        <v>0</v>
      </c>
      <c r="K16" s="11"/>
      <c r="L16" s="25">
        <f>SUM(B5:B16)-SUM(C5:C16)-SUM(D5:D16)-SUM(E5:E16)-SUM(F5:F16)-SUM(G5:G16)-SUM(H5:H16)+SUM(J5:J16)</f>
        <v>5098.5199999999995</v>
      </c>
    </row>
    <row r="17" spans="1:12" x14ac:dyDescent="0.2">
      <c r="A17" s="62">
        <v>45658</v>
      </c>
      <c r="B17" s="66">
        <v>480</v>
      </c>
      <c r="C17" s="67">
        <v>16.420000000000002</v>
      </c>
      <c r="D17" s="67"/>
      <c r="E17" s="67"/>
      <c r="F17" s="67"/>
      <c r="G17" s="67"/>
      <c r="H17" s="67"/>
      <c r="I17" s="67"/>
      <c r="J17" s="67">
        <f>IF(C17&gt;$H$1,C17-$H$1,0)</f>
        <v>0</v>
      </c>
      <c r="K17" s="68"/>
    </row>
    <row r="18" spans="1:12" x14ac:dyDescent="0.2">
      <c r="A18" s="54">
        <v>45689</v>
      </c>
      <c r="B18" s="55">
        <v>480</v>
      </c>
      <c r="C18" s="56">
        <v>16.77</v>
      </c>
      <c r="D18" s="56"/>
      <c r="E18" s="56"/>
      <c r="F18" s="56"/>
      <c r="G18" s="56"/>
      <c r="H18" s="56">
        <v>463.1</v>
      </c>
      <c r="I18" s="56" t="s">
        <v>121</v>
      </c>
      <c r="J18" s="56">
        <f>IF(C18&gt;$H$1,C18-$H$1,0)</f>
        <v>0</v>
      </c>
      <c r="K18" s="57"/>
    </row>
    <row r="19" spans="1:12" x14ac:dyDescent="0.2">
      <c r="A19" s="50">
        <v>45717</v>
      </c>
      <c r="B19" s="51">
        <v>480</v>
      </c>
      <c r="C19" s="52">
        <v>13.5</v>
      </c>
      <c r="D19" s="52"/>
      <c r="E19" s="52"/>
      <c r="F19" s="52"/>
      <c r="G19" s="52"/>
      <c r="H19" s="52"/>
      <c r="I19" s="52"/>
      <c r="J19" s="52">
        <f>IF(C19&gt;$H$1,C19-$H$1,0)</f>
        <v>0</v>
      </c>
      <c r="K19" s="53"/>
    </row>
    <row r="20" spans="1:12" x14ac:dyDescent="0.2">
      <c r="A20" s="54">
        <v>45748</v>
      </c>
      <c r="B20" s="55">
        <v>480</v>
      </c>
      <c r="C20" s="56">
        <v>18.03</v>
      </c>
      <c r="D20" s="56"/>
      <c r="E20" s="56"/>
      <c r="F20" s="56"/>
      <c r="G20" s="56"/>
      <c r="H20" s="56"/>
      <c r="I20" s="56"/>
      <c r="J20" s="56">
        <f>IF(C20&gt;$H$1,C20-$H$1,0)</f>
        <v>0</v>
      </c>
      <c r="K20" s="57"/>
    </row>
    <row r="21" spans="1:12" x14ac:dyDescent="0.2">
      <c r="A21" s="50">
        <v>45778</v>
      </c>
      <c r="B21" s="51">
        <v>480</v>
      </c>
      <c r="C21" s="52">
        <v>28.7</v>
      </c>
      <c r="D21" s="52"/>
      <c r="E21" s="52"/>
      <c r="F21" s="52"/>
      <c r="G21" s="52"/>
      <c r="H21" s="52"/>
      <c r="I21" s="52"/>
      <c r="J21" s="52">
        <f>IF(C21&gt;$H$1,C21-$H$1,0)</f>
        <v>8.6999999999999993</v>
      </c>
      <c r="K21" s="53"/>
    </row>
    <row r="22" spans="1:12" x14ac:dyDescent="0.2">
      <c r="A22" s="54">
        <v>45809</v>
      </c>
      <c r="B22" s="55">
        <v>480</v>
      </c>
      <c r="C22" s="56">
        <v>37.31</v>
      </c>
      <c r="D22" s="56"/>
      <c r="E22" s="56"/>
      <c r="F22" s="56"/>
      <c r="G22" s="56"/>
      <c r="H22" s="56"/>
      <c r="I22" s="56"/>
      <c r="J22" s="56">
        <f>IF(C22&gt;$H$1,C22-$H$1,0)</f>
        <v>17.310000000000002</v>
      </c>
      <c r="K22" s="57"/>
    </row>
    <row r="23" spans="1:12" x14ac:dyDescent="0.2">
      <c r="A23" s="50">
        <v>45839</v>
      </c>
      <c r="B23" s="51">
        <v>480</v>
      </c>
      <c r="C23" s="52">
        <v>35.28</v>
      </c>
      <c r="D23" s="52"/>
      <c r="E23" s="52"/>
      <c r="F23" s="52"/>
      <c r="G23" s="52"/>
      <c r="H23" s="52"/>
      <c r="I23" s="52"/>
      <c r="J23" s="52">
        <f>IF(C23&gt;$H$1,C23-$H$1,0)</f>
        <v>15.280000000000001</v>
      </c>
      <c r="K23" s="53"/>
    </row>
    <row r="24" spans="1:12" x14ac:dyDescent="0.2">
      <c r="A24" s="54">
        <v>45870</v>
      </c>
      <c r="B24" s="55">
        <v>480</v>
      </c>
      <c r="C24" s="56">
        <v>44.6</v>
      </c>
      <c r="D24" s="56"/>
      <c r="E24" s="56"/>
      <c r="F24" s="56"/>
      <c r="G24" s="56"/>
      <c r="H24" s="56"/>
      <c r="I24" s="56"/>
      <c r="J24" s="56">
        <f>IF(C24&gt;$H$1,C24-$H$1,0)</f>
        <v>24.6</v>
      </c>
      <c r="K24" s="57"/>
    </row>
    <row r="25" spans="1:12" x14ac:dyDescent="0.2">
      <c r="A25" s="50">
        <v>45901</v>
      </c>
      <c r="B25" s="51">
        <v>480</v>
      </c>
      <c r="C25" s="52">
        <v>40.99</v>
      </c>
      <c r="D25" s="52"/>
      <c r="E25" s="52"/>
      <c r="F25" s="52"/>
      <c r="G25" s="52"/>
      <c r="H25" s="52"/>
      <c r="I25" s="52"/>
      <c r="J25" s="52">
        <f>IF(C25&gt;$H$1,C25-$H$1,0)</f>
        <v>20.990000000000002</v>
      </c>
      <c r="K25" s="53"/>
    </row>
    <row r="26" spans="1:12" x14ac:dyDescent="0.2">
      <c r="A26" s="54">
        <v>45931</v>
      </c>
      <c r="B26" s="55">
        <v>480</v>
      </c>
      <c r="C26" s="56">
        <v>33.880000000000003</v>
      </c>
      <c r="D26" s="56"/>
      <c r="E26" s="56"/>
      <c r="F26" s="56"/>
      <c r="G26" s="56"/>
      <c r="H26" s="56"/>
      <c r="I26" s="56"/>
      <c r="J26" s="56">
        <f>IF(C26&gt;$H$1,C26-$H$1,0)</f>
        <v>13.880000000000003</v>
      </c>
      <c r="K26" s="57"/>
    </row>
    <row r="27" spans="1:12" x14ac:dyDescent="0.2">
      <c r="A27" s="50">
        <v>45962</v>
      </c>
      <c r="B27" s="51">
        <v>480</v>
      </c>
      <c r="C27" s="52">
        <v>26.58</v>
      </c>
      <c r="D27" s="52"/>
      <c r="E27" s="52"/>
      <c r="F27" s="52"/>
      <c r="G27" s="52"/>
      <c r="H27" s="52"/>
      <c r="I27" s="52"/>
      <c r="J27" s="52">
        <f>IF(C27&gt;$H$1,C27-$H$1,0)</f>
        <v>6.5799999999999983</v>
      </c>
      <c r="K27" s="53"/>
    </row>
    <row r="28" spans="1:12" ht="15.75" thickBot="1" x14ac:dyDescent="0.25">
      <c r="A28" s="58">
        <v>45992</v>
      </c>
      <c r="B28" s="59">
        <v>480</v>
      </c>
      <c r="C28" s="60">
        <v>19.71</v>
      </c>
      <c r="D28" s="60"/>
      <c r="E28" s="60"/>
      <c r="F28" s="60"/>
      <c r="G28" s="60"/>
      <c r="H28" s="60"/>
      <c r="I28" s="60"/>
      <c r="J28" s="60">
        <f>IF(C28&gt;$H$1,C28-$H$1,0)</f>
        <v>0</v>
      </c>
      <c r="K28" s="61"/>
      <c r="L28" s="25">
        <f>SUM(B17:B28)-SUM(C17:C28)-SUM(D17:D28)-SUM(E17:E28)-SUM(F17:F28)-SUM(G17:G28)-SUM(H17:H28)+SUM(J17:J28)</f>
        <v>5072.4699999999993</v>
      </c>
    </row>
    <row r="29" spans="1:12" x14ac:dyDescent="0.2">
      <c r="A29" s="62">
        <v>46023</v>
      </c>
      <c r="B29" s="66">
        <v>480</v>
      </c>
      <c r="C29" s="67"/>
      <c r="D29" s="67"/>
      <c r="E29" s="67"/>
      <c r="F29" s="67"/>
      <c r="G29" s="67"/>
      <c r="H29" s="67"/>
      <c r="I29" s="67"/>
      <c r="J29" s="67">
        <f>IF(C29&gt;$H$1,C29-$H$1,0)</f>
        <v>0</v>
      </c>
      <c r="K29" s="68"/>
    </row>
    <row r="30" spans="1:12" x14ac:dyDescent="0.2">
      <c r="A30" s="54">
        <v>46054</v>
      </c>
      <c r="B30" s="55"/>
      <c r="C30" s="56"/>
      <c r="D30" s="56"/>
      <c r="E30" s="56"/>
      <c r="F30" s="56"/>
      <c r="G30" s="56"/>
      <c r="H30" s="56"/>
      <c r="I30" s="56"/>
      <c r="J30" s="56">
        <f>IF(C30&gt;$H$1,C30-$H$1,0)</f>
        <v>0</v>
      </c>
      <c r="K30" s="57"/>
    </row>
    <row r="31" spans="1:12" x14ac:dyDescent="0.2">
      <c r="A31" s="50">
        <v>46082</v>
      </c>
      <c r="B31" s="51"/>
      <c r="C31" s="52"/>
      <c r="D31" s="52"/>
      <c r="E31" s="52"/>
      <c r="F31" s="52"/>
      <c r="G31" s="52"/>
      <c r="H31" s="52"/>
      <c r="I31" s="52"/>
      <c r="J31" s="52">
        <f>IF(C31&gt;$H$1,C31-$H$1,0)</f>
        <v>0</v>
      </c>
      <c r="K31" s="53"/>
    </row>
    <row r="32" spans="1:12" x14ac:dyDescent="0.2">
      <c r="A32" s="54">
        <v>46113</v>
      </c>
      <c r="B32" s="55"/>
      <c r="C32" s="56"/>
      <c r="D32" s="56"/>
      <c r="E32" s="56"/>
      <c r="F32" s="56"/>
      <c r="G32" s="56"/>
      <c r="H32" s="56"/>
      <c r="I32" s="56"/>
      <c r="J32" s="56">
        <f>IF(C32&gt;$H$1,C32-$H$1,0)</f>
        <v>0</v>
      </c>
      <c r="K32" s="57"/>
    </row>
    <row r="33" spans="1:12" x14ac:dyDescent="0.2">
      <c r="A33" s="50">
        <v>46143</v>
      </c>
      <c r="B33" s="51"/>
      <c r="C33" s="52"/>
      <c r="D33" s="52"/>
      <c r="E33" s="52"/>
      <c r="F33" s="52"/>
      <c r="G33" s="52"/>
      <c r="H33" s="52"/>
      <c r="I33" s="52"/>
      <c r="J33" s="52">
        <f>IF(C33&gt;$H$1,C33-$H$1,0)</f>
        <v>0</v>
      </c>
      <c r="K33" s="53"/>
    </row>
    <row r="34" spans="1:12" x14ac:dyDescent="0.2">
      <c r="A34" s="54">
        <v>46174</v>
      </c>
      <c r="B34" s="55"/>
      <c r="C34" s="56"/>
      <c r="D34" s="56"/>
      <c r="E34" s="56"/>
      <c r="F34" s="56"/>
      <c r="G34" s="56"/>
      <c r="H34" s="56"/>
      <c r="I34" s="56"/>
      <c r="J34" s="56">
        <f>IF(C34&gt;$H$1,C34-$H$1,0)</f>
        <v>0</v>
      </c>
      <c r="K34" s="57"/>
    </row>
    <row r="35" spans="1:12" x14ac:dyDescent="0.2">
      <c r="A35" s="50">
        <v>46204</v>
      </c>
      <c r="B35" s="51"/>
      <c r="C35" s="52"/>
      <c r="D35" s="52"/>
      <c r="E35" s="52"/>
      <c r="F35" s="52"/>
      <c r="G35" s="52"/>
      <c r="H35" s="52"/>
      <c r="I35" s="52"/>
      <c r="J35" s="52">
        <f>IF(C35&gt;$H$1,C35-$H$1,0)</f>
        <v>0</v>
      </c>
      <c r="K35" s="53"/>
    </row>
    <row r="36" spans="1:12" x14ac:dyDescent="0.2">
      <c r="A36" s="54">
        <v>46235</v>
      </c>
      <c r="B36" s="55"/>
      <c r="C36" s="56"/>
      <c r="D36" s="56"/>
      <c r="E36" s="56"/>
      <c r="F36" s="56"/>
      <c r="G36" s="56"/>
      <c r="H36" s="56"/>
      <c r="I36" s="56"/>
      <c r="J36" s="56">
        <f>IF(C36&gt;$H$1,C36-$H$1,0)</f>
        <v>0</v>
      </c>
      <c r="K36" s="57"/>
    </row>
    <row r="37" spans="1:12" x14ac:dyDescent="0.2">
      <c r="A37" s="50">
        <v>46266</v>
      </c>
      <c r="B37" s="51"/>
      <c r="C37" s="52"/>
      <c r="D37" s="52"/>
      <c r="E37" s="52"/>
      <c r="F37" s="52"/>
      <c r="G37" s="52"/>
      <c r="H37" s="52"/>
      <c r="I37" s="52"/>
      <c r="J37" s="52">
        <f>IF(C37&gt;$H$1,C37-$H$1,0)</f>
        <v>0</v>
      </c>
      <c r="K37" s="53"/>
    </row>
    <row r="38" spans="1:12" x14ac:dyDescent="0.2">
      <c r="A38" s="54">
        <v>46296</v>
      </c>
      <c r="B38" s="55"/>
      <c r="C38" s="56"/>
      <c r="D38" s="56"/>
      <c r="E38" s="56"/>
      <c r="F38" s="56"/>
      <c r="G38" s="56"/>
      <c r="H38" s="56"/>
      <c r="I38" s="56"/>
      <c r="J38" s="56">
        <f>IF(C38&gt;$H$1,C38-$H$1,0)</f>
        <v>0</v>
      </c>
      <c r="K38" s="57"/>
    </row>
    <row r="39" spans="1:12" x14ac:dyDescent="0.2">
      <c r="A39" s="50">
        <v>46327</v>
      </c>
      <c r="B39" s="51"/>
      <c r="C39" s="52"/>
      <c r="D39" s="52"/>
      <c r="E39" s="52"/>
      <c r="F39" s="52"/>
      <c r="G39" s="52"/>
      <c r="H39" s="52"/>
      <c r="I39" s="52"/>
      <c r="J39" s="52">
        <f>IF(C39&gt;$H$1,C39-$H$1,0)</f>
        <v>0</v>
      </c>
      <c r="K39" s="53"/>
    </row>
    <row r="40" spans="1:12" ht="15.75" thickBot="1" x14ac:dyDescent="0.25">
      <c r="A40" s="58">
        <v>46357</v>
      </c>
      <c r="B40" s="59"/>
      <c r="C40" s="60"/>
      <c r="D40" s="60"/>
      <c r="E40" s="60"/>
      <c r="F40" s="60"/>
      <c r="G40" s="60"/>
      <c r="H40" s="60"/>
      <c r="I40" s="60"/>
      <c r="J40" s="60">
        <f>IF(C40&gt;$H$1,C40-$H$1,0)</f>
        <v>0</v>
      </c>
      <c r="K40" s="61"/>
      <c r="L40" s="25">
        <f>SUM(B29:B40)-SUM(C29:C40)-SUM(D29:D40)-SUM(E29:E40)-SUM(F29:F40)-SUM(G29:G40)-SUM(H29:H40)+SUM(J29:J40)</f>
        <v>480</v>
      </c>
    </row>
    <row r="41" spans="1:12" x14ac:dyDescent="0.2">
      <c r="A41" s="29"/>
      <c r="B41" s="30">
        <f>SUM(B29:B40)</f>
        <v>480</v>
      </c>
      <c r="C41" s="30">
        <f t="shared" ref="C41:J41" si="0">SUM(C29:C40)</f>
        <v>0</v>
      </c>
      <c r="D41" s="30">
        <f t="shared" si="0"/>
        <v>0</v>
      </c>
      <c r="E41" s="30">
        <f t="shared" si="0"/>
        <v>0</v>
      </c>
      <c r="F41" s="30">
        <f t="shared" si="0"/>
        <v>0</v>
      </c>
      <c r="G41" s="30">
        <f t="shared" si="0"/>
        <v>0</v>
      </c>
      <c r="H41" s="30">
        <f t="shared" si="0"/>
        <v>0</v>
      </c>
      <c r="I41" s="30"/>
      <c r="J41" s="30">
        <f t="shared" si="0"/>
        <v>0</v>
      </c>
      <c r="K41" s="31"/>
    </row>
    <row r="42" spans="1:12" x14ac:dyDescent="0.2">
      <c r="A42" s="29" t="s">
        <v>5</v>
      </c>
      <c r="B42" s="30">
        <f>B41-C41-D41-E41-F41-G41-H41+J41</f>
        <v>480</v>
      </c>
      <c r="C42" s="30"/>
      <c r="D42" s="30"/>
      <c r="E42" s="30"/>
      <c r="F42" s="30"/>
      <c r="G42" s="30"/>
      <c r="H42" s="30"/>
      <c r="I42" s="30"/>
      <c r="J42" s="30"/>
      <c r="K42" s="30"/>
    </row>
    <row r="43" spans="1:12" x14ac:dyDescent="0.2">
      <c r="A43" s="29" t="s">
        <v>15</v>
      </c>
      <c r="B43" s="32">
        <f>B42/Master!X3</f>
        <v>1.2E-2</v>
      </c>
      <c r="C43" s="29"/>
      <c r="D43" s="29"/>
      <c r="E43" s="29"/>
      <c r="F43" s="29"/>
      <c r="G43" s="29"/>
      <c r="H43" s="29"/>
      <c r="I43" s="29"/>
      <c r="J43" s="29"/>
      <c r="K43" s="29"/>
    </row>
    <row r="44" spans="1:12" x14ac:dyDescent="0.2">
      <c r="A44" s="24" t="s">
        <v>94</v>
      </c>
      <c r="B44" s="25">
        <f>B4+B42</f>
        <v>480</v>
      </c>
      <c r="C44" s="26" t="s">
        <v>101</v>
      </c>
      <c r="D44" s="27">
        <v>45657</v>
      </c>
      <c r="E44" s="24"/>
      <c r="F44" s="24"/>
      <c r="G44" s="24"/>
      <c r="H44" s="24"/>
      <c r="I44" s="24"/>
      <c r="J44" s="24"/>
      <c r="K44" s="24"/>
    </row>
  </sheetData>
  <pageMargins left="0.7" right="0.7" top="0.75" bottom="0.75" header="0.3" footer="0.3"/>
  <pageSetup orientation="portrait" horizontalDpi="1200" verticalDpi="1200" r:id="rId1"/>
  <headerFooter>
    <oddHeader>&amp;L&amp;"Arial"&amp;10&amp;K000000&amp;1#</oddHeader>
    <oddFooter>&amp;L&amp;1#&amp;"Arial"&amp;10&amp;K000000Saudi Aramco: Company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F6EF-BD2B-44D8-A3A0-064920E4D8BF}">
  <sheetPr>
    <tabColor theme="4"/>
  </sheetPr>
  <dimension ref="A1:R44"/>
  <sheetViews>
    <sheetView workbookViewId="0">
      <pane ySplit="3" topLeftCell="A14" activePane="bottomLeft" state="frozen"/>
      <selection activeCell="L36" sqref="L36"/>
      <selection pane="bottomLeft" activeCell="F29" sqref="F29"/>
    </sheetView>
  </sheetViews>
  <sheetFormatPr defaultColWidth="8.609375" defaultRowHeight="15" x14ac:dyDescent="0.2"/>
  <cols>
    <col min="1" max="1" width="9.953125" customWidth="1"/>
    <col min="2" max="2" width="13.85546875" customWidth="1"/>
    <col min="3" max="3" width="12.9140625" customWidth="1"/>
    <col min="4" max="4" width="13.046875" customWidth="1"/>
    <col min="5" max="5" width="12.23828125" bestFit="1" customWidth="1"/>
    <col min="6" max="6" width="13.44921875" bestFit="1" customWidth="1"/>
    <col min="7" max="7" width="12.9140625" bestFit="1" customWidth="1"/>
    <col min="8" max="8" width="13.1796875" bestFit="1" customWidth="1"/>
    <col min="9" max="9" width="19.37109375" customWidth="1"/>
    <col min="10" max="10" width="11.56640625" bestFit="1" customWidth="1"/>
    <col min="11" max="11" width="8.609375" bestFit="1" customWidth="1"/>
    <col min="12" max="12" width="13.71875" bestFit="1" customWidth="1"/>
    <col min="15" max="15" width="4.5703125" customWidth="1"/>
    <col min="16" max="16" width="12.23828125" bestFit="1" customWidth="1"/>
    <col min="18" max="18" width="14.796875" customWidth="1"/>
  </cols>
  <sheetData>
    <row r="1" spans="1:18" x14ac:dyDescent="0.2">
      <c r="A1" s="79" t="s">
        <v>0</v>
      </c>
      <c r="B1" s="80" t="str">
        <f>Master!B5</f>
        <v>1509B</v>
      </c>
      <c r="C1" s="81" t="s">
        <v>38</v>
      </c>
      <c r="D1" s="80" t="str">
        <f>Master!J5</f>
        <v>P6-48</v>
      </c>
      <c r="E1" s="81" t="s">
        <v>2</v>
      </c>
      <c r="F1" s="80">
        <f>Master!N5</f>
        <v>1100119864</v>
      </c>
      <c r="G1" s="81" t="s">
        <v>27</v>
      </c>
      <c r="H1" s="82">
        <f>Master!O5</f>
        <v>15</v>
      </c>
      <c r="I1" s="83"/>
      <c r="J1" s="83"/>
      <c r="K1" s="65"/>
      <c r="N1" s="79" t="s">
        <v>0</v>
      </c>
      <c r="O1" s="80" t="str">
        <f>Master!B5</f>
        <v>1509B</v>
      </c>
      <c r="P1" s="81"/>
      <c r="Q1" s="81" t="s">
        <v>2</v>
      </c>
      <c r="R1" s="121">
        <f>Master!N5</f>
        <v>1100119864</v>
      </c>
    </row>
    <row r="2" spans="1:18" ht="15.75" thickBot="1" x14ac:dyDescent="0.25">
      <c r="A2" s="84" t="s">
        <v>28</v>
      </c>
      <c r="B2" s="85" t="str">
        <f>Master!C5</f>
        <v>Sultan</v>
      </c>
      <c r="C2" s="86" t="s">
        <v>34</v>
      </c>
      <c r="D2" s="85">
        <f>Master!I5</f>
        <v>560490705</v>
      </c>
      <c r="E2" s="86" t="s">
        <v>29</v>
      </c>
      <c r="F2" s="87">
        <f>Master!K5</f>
        <v>45532</v>
      </c>
      <c r="G2" s="86" t="s">
        <v>30</v>
      </c>
      <c r="H2" s="87">
        <f>Master!L5</f>
        <v>45896</v>
      </c>
      <c r="I2" s="88"/>
      <c r="J2" s="88"/>
      <c r="K2" s="89"/>
      <c r="N2" s="84" t="s">
        <v>28</v>
      </c>
      <c r="O2" s="85" t="str">
        <f>Master!C5</f>
        <v>Sultan</v>
      </c>
      <c r="P2" s="86"/>
      <c r="Q2" s="127" t="s">
        <v>27</v>
      </c>
      <c r="R2" s="128">
        <f>Master!O5</f>
        <v>15</v>
      </c>
    </row>
    <row r="3" spans="1:18" ht="15.75" thickBot="1" x14ac:dyDescent="0.25">
      <c r="A3" s="28" t="s">
        <v>31</v>
      </c>
      <c r="B3" s="28" t="s">
        <v>32</v>
      </c>
      <c r="C3" s="28" t="s">
        <v>2</v>
      </c>
      <c r="D3" s="28" t="s">
        <v>33</v>
      </c>
      <c r="E3" s="28" t="s">
        <v>3</v>
      </c>
      <c r="F3" s="28" t="s">
        <v>93</v>
      </c>
      <c r="G3" s="28" t="s">
        <v>98</v>
      </c>
      <c r="H3" s="28" t="s">
        <v>96</v>
      </c>
      <c r="I3" s="28" t="s">
        <v>97</v>
      </c>
      <c r="J3" s="28" t="s">
        <v>95</v>
      </c>
      <c r="K3" s="28" t="s">
        <v>103</v>
      </c>
      <c r="N3" s="124" t="s">
        <v>31</v>
      </c>
      <c r="O3" s="125"/>
      <c r="P3" s="125" t="s">
        <v>2</v>
      </c>
      <c r="Q3" s="125"/>
      <c r="R3" s="126" t="s">
        <v>95</v>
      </c>
    </row>
    <row r="4" spans="1:18" x14ac:dyDescent="0.2">
      <c r="A4" s="24" t="s">
        <v>94</v>
      </c>
      <c r="B4" s="25">
        <v>0</v>
      </c>
      <c r="C4" s="26" t="s">
        <v>101</v>
      </c>
      <c r="D4" s="27">
        <v>45291</v>
      </c>
      <c r="E4" s="24"/>
      <c r="F4" s="24"/>
      <c r="G4" s="24"/>
      <c r="H4" s="24"/>
      <c r="I4" s="24"/>
      <c r="J4" s="24"/>
      <c r="K4" s="24"/>
      <c r="N4" s="62">
        <v>45778</v>
      </c>
      <c r="O4" s="63"/>
      <c r="P4" s="64">
        <v>17.47</v>
      </c>
      <c r="Q4" s="64"/>
      <c r="R4" s="110">
        <f>P4-$R$2</f>
        <v>2.4699999999999989</v>
      </c>
    </row>
    <row r="5" spans="1:18" x14ac:dyDescent="0.2">
      <c r="A5" s="12">
        <v>45292</v>
      </c>
      <c r="B5" s="21">
        <f>Master!$M$5</f>
        <v>350</v>
      </c>
      <c r="C5" s="22">
        <v>10.14</v>
      </c>
      <c r="D5" s="22"/>
      <c r="E5" s="22">
        <v>6</v>
      </c>
      <c r="F5" s="22"/>
      <c r="G5" s="22"/>
      <c r="H5" s="22"/>
      <c r="I5" s="22"/>
      <c r="J5" s="22">
        <f>IF(C5&gt;$H$1,C5-$H$1,0)</f>
        <v>0</v>
      </c>
      <c r="K5" s="23"/>
      <c r="N5" s="54">
        <v>45809</v>
      </c>
      <c r="O5" s="55"/>
      <c r="P5" s="56">
        <v>19.5</v>
      </c>
      <c r="Q5" s="56"/>
      <c r="R5" s="111">
        <f t="shared" ref="R5:R9" si="0">P5-$R$2</f>
        <v>4.5</v>
      </c>
    </row>
    <row r="6" spans="1:18" x14ac:dyDescent="0.2">
      <c r="A6" s="13">
        <v>45323</v>
      </c>
      <c r="B6" s="9">
        <f>Master!$M$5</f>
        <v>350</v>
      </c>
      <c r="C6" s="10">
        <v>10.08</v>
      </c>
      <c r="D6" s="10"/>
      <c r="E6" s="10">
        <v>6</v>
      </c>
      <c r="F6" s="10"/>
      <c r="G6" s="10"/>
      <c r="H6" s="10"/>
      <c r="I6" s="10"/>
      <c r="J6" s="10">
        <f>IF(C6&gt;$H$1,C6-$H$1,0)</f>
        <v>0</v>
      </c>
      <c r="K6" s="11"/>
      <c r="N6" s="50">
        <v>45839</v>
      </c>
      <c r="O6" s="51"/>
      <c r="P6" s="52">
        <v>18.84</v>
      </c>
      <c r="Q6" s="52"/>
      <c r="R6" s="112">
        <f t="shared" si="0"/>
        <v>3.84</v>
      </c>
    </row>
    <row r="7" spans="1:18" x14ac:dyDescent="0.2">
      <c r="A7" s="12">
        <v>45352</v>
      </c>
      <c r="B7" s="7">
        <f>Master!$M$5</f>
        <v>350</v>
      </c>
      <c r="C7" s="8">
        <v>7.16</v>
      </c>
      <c r="D7" s="8"/>
      <c r="E7" s="22">
        <v>6</v>
      </c>
      <c r="F7" s="8"/>
      <c r="G7" s="8"/>
      <c r="H7" s="8"/>
      <c r="I7" s="8"/>
      <c r="J7" s="8">
        <f>IF(C7&gt;$H$1,C7-$H$1,0)</f>
        <v>0</v>
      </c>
      <c r="K7" s="6"/>
      <c r="N7" s="54">
        <v>45870</v>
      </c>
      <c r="O7" s="55"/>
      <c r="P7" s="56">
        <v>20.9</v>
      </c>
      <c r="Q7" s="56"/>
      <c r="R7" s="111">
        <f t="shared" si="0"/>
        <v>5.8999999999999986</v>
      </c>
    </row>
    <row r="8" spans="1:18" x14ac:dyDescent="0.2">
      <c r="A8" s="13">
        <v>45383</v>
      </c>
      <c r="B8" s="9">
        <f>Master!$M$5</f>
        <v>350</v>
      </c>
      <c r="C8" s="10">
        <v>7.45</v>
      </c>
      <c r="D8" s="10"/>
      <c r="E8" s="10">
        <v>6</v>
      </c>
      <c r="F8" s="10"/>
      <c r="G8" s="10"/>
      <c r="H8" s="10"/>
      <c r="I8" s="10"/>
      <c r="J8" s="10">
        <f>IF(C8&gt;$H$1,C8-$H$1,0)</f>
        <v>0</v>
      </c>
      <c r="K8" s="11"/>
      <c r="N8" s="50">
        <v>45901</v>
      </c>
      <c r="O8" s="51"/>
      <c r="P8" s="52">
        <v>19.25</v>
      </c>
      <c r="Q8" s="52"/>
      <c r="R8" s="112">
        <f t="shared" si="0"/>
        <v>4.25</v>
      </c>
    </row>
    <row r="9" spans="1:18" ht="15.75" thickBot="1" x14ac:dyDescent="0.25">
      <c r="A9" s="12">
        <v>45413</v>
      </c>
      <c r="B9" s="7">
        <f>Master!$M$5</f>
        <v>350</v>
      </c>
      <c r="C9" s="8">
        <v>15.06</v>
      </c>
      <c r="D9" s="8"/>
      <c r="E9" s="22">
        <v>6</v>
      </c>
      <c r="F9" s="8"/>
      <c r="G9" s="8"/>
      <c r="H9" s="8"/>
      <c r="I9" s="8"/>
      <c r="J9" s="8">
        <v>0</v>
      </c>
      <c r="K9" s="6"/>
      <c r="N9" s="58">
        <v>45931</v>
      </c>
      <c r="O9" s="59"/>
      <c r="P9" s="60">
        <v>15.27</v>
      </c>
      <c r="Q9" s="60"/>
      <c r="R9" s="133">
        <f t="shared" si="0"/>
        <v>0.26999999999999957</v>
      </c>
    </row>
    <row r="10" spans="1:18" ht="15.75" thickBot="1" x14ac:dyDescent="0.25">
      <c r="A10" s="13">
        <v>45444</v>
      </c>
      <c r="B10" s="9">
        <f>Master!$M$5</f>
        <v>350</v>
      </c>
      <c r="C10" s="10">
        <v>11.16</v>
      </c>
      <c r="D10" s="10"/>
      <c r="E10" s="10">
        <v>6</v>
      </c>
      <c r="F10" s="10"/>
      <c r="G10" s="10"/>
      <c r="H10" s="10"/>
      <c r="I10" s="10"/>
      <c r="J10" s="10">
        <f>IF(C10&gt;$H$1,C10-$H$1,0)</f>
        <v>0</v>
      </c>
      <c r="K10" s="11"/>
      <c r="N10" s="129"/>
      <c r="O10" s="130"/>
      <c r="P10" s="131"/>
      <c r="Q10" s="131"/>
      <c r="R10" s="132">
        <f>SUM(R4:R9)</f>
        <v>21.229999999999997</v>
      </c>
    </row>
    <row r="11" spans="1:18" x14ac:dyDescent="0.2">
      <c r="A11" s="12">
        <v>45474</v>
      </c>
      <c r="B11" s="7">
        <v>0</v>
      </c>
      <c r="C11" s="8">
        <v>9.6199999999999992</v>
      </c>
      <c r="D11" s="8"/>
      <c r="E11" s="22">
        <v>6</v>
      </c>
      <c r="F11" s="8"/>
      <c r="G11" s="8"/>
      <c r="H11" s="8"/>
      <c r="I11" s="8"/>
      <c r="J11" s="8">
        <f>IF(C11&gt;$H$1,C11-$H$1,0)</f>
        <v>0</v>
      </c>
      <c r="K11" s="6"/>
    </row>
    <row r="12" spans="1:18" x14ac:dyDescent="0.2">
      <c r="A12" s="13">
        <v>45505</v>
      </c>
      <c r="B12" s="9">
        <v>0</v>
      </c>
      <c r="C12" s="10">
        <v>6.98</v>
      </c>
      <c r="D12" s="10"/>
      <c r="E12" s="10">
        <v>6</v>
      </c>
      <c r="F12" s="10"/>
      <c r="G12" s="10"/>
      <c r="H12" s="10"/>
      <c r="I12" s="10"/>
      <c r="J12" s="10">
        <f>IF(C12&gt;$H$1,C12-$H$1,0)</f>
        <v>0</v>
      </c>
      <c r="K12" s="11"/>
    </row>
    <row r="13" spans="1:18" x14ac:dyDescent="0.2">
      <c r="A13" s="12">
        <v>45536</v>
      </c>
      <c r="B13" s="7">
        <f>Master!$M$5</f>
        <v>350</v>
      </c>
      <c r="C13" s="8">
        <v>18.940000000000001</v>
      </c>
      <c r="D13" s="8"/>
      <c r="E13" s="22">
        <v>6</v>
      </c>
      <c r="F13" s="8"/>
      <c r="G13" s="8"/>
      <c r="H13" s="8"/>
      <c r="I13" s="8"/>
      <c r="J13" s="8">
        <f>IF(C13&gt;$H$1,C13-$H$1,0)</f>
        <v>3.9400000000000013</v>
      </c>
      <c r="K13" s="6" t="s">
        <v>91</v>
      </c>
    </row>
    <row r="14" spans="1:18" x14ac:dyDescent="0.2">
      <c r="A14" s="13">
        <v>45566</v>
      </c>
      <c r="B14" s="9">
        <f>Master!$M$5</f>
        <v>350</v>
      </c>
      <c r="C14" s="10">
        <v>24.13</v>
      </c>
      <c r="D14" s="10"/>
      <c r="E14" s="10">
        <v>6</v>
      </c>
      <c r="F14" s="10"/>
      <c r="G14" s="10"/>
      <c r="H14" s="10"/>
      <c r="I14" s="10"/>
      <c r="J14" s="10">
        <f>IF(C14&gt;$H$1,C14-$H$1,0)</f>
        <v>9.129999999999999</v>
      </c>
      <c r="K14" s="11" t="s">
        <v>91</v>
      </c>
    </row>
    <row r="15" spans="1:18" x14ac:dyDescent="0.2">
      <c r="A15" s="12">
        <v>45597</v>
      </c>
      <c r="B15" s="7">
        <v>350</v>
      </c>
      <c r="C15" s="8">
        <v>19.32</v>
      </c>
      <c r="D15" s="8"/>
      <c r="E15" s="22">
        <v>6</v>
      </c>
      <c r="F15" s="8"/>
      <c r="G15" s="8"/>
      <c r="H15" s="8"/>
      <c r="I15" s="8"/>
      <c r="J15" s="8">
        <f>IF(C15&gt;$H$1,C15-$H$1,0)</f>
        <v>4.32</v>
      </c>
      <c r="K15" s="6" t="s">
        <v>91</v>
      </c>
    </row>
    <row r="16" spans="1:18" ht="15.75" thickBot="1" x14ac:dyDescent="0.25">
      <c r="A16" s="13">
        <v>45627</v>
      </c>
      <c r="B16" s="9">
        <f>Master!$M$5</f>
        <v>350</v>
      </c>
      <c r="C16" s="10">
        <v>12.49</v>
      </c>
      <c r="D16" s="10"/>
      <c r="E16" s="10">
        <v>6</v>
      </c>
      <c r="F16" s="10"/>
      <c r="G16" s="10"/>
      <c r="H16" s="10"/>
      <c r="I16" s="10"/>
      <c r="J16" s="10">
        <f>IF(C16&gt;$H$1,C16-$H$1,0)</f>
        <v>0</v>
      </c>
      <c r="K16" s="11"/>
      <c r="L16" s="25">
        <f>SUM(B5:B16)-SUM(C5:C16)-SUM(D5:D16)-SUM(E5:E16)-SUM(F5:F16)-SUM(G5:G16)-SUM(H5:H16)+SUM(J5:J16)</f>
        <v>3292.8599999999997</v>
      </c>
    </row>
    <row r="17" spans="1:12" x14ac:dyDescent="0.2">
      <c r="A17" s="62">
        <v>45658</v>
      </c>
      <c r="B17" s="66">
        <v>350</v>
      </c>
      <c r="C17" s="67">
        <v>8.58</v>
      </c>
      <c r="D17" s="67"/>
      <c r="E17" s="67">
        <v>6</v>
      </c>
      <c r="F17" s="67"/>
      <c r="G17" s="67"/>
      <c r="H17" s="67"/>
      <c r="I17" s="67"/>
      <c r="J17" s="67">
        <f>IF(C17&gt;$H$1,C17-$H$1,0)</f>
        <v>0</v>
      </c>
      <c r="K17" s="68"/>
    </row>
    <row r="18" spans="1:12" x14ac:dyDescent="0.2">
      <c r="A18" s="54">
        <v>45689</v>
      </c>
      <c r="B18" s="55">
        <v>350</v>
      </c>
      <c r="C18" s="56">
        <v>9.65</v>
      </c>
      <c r="D18" s="56"/>
      <c r="E18" s="56">
        <v>6</v>
      </c>
      <c r="F18" s="56"/>
      <c r="G18" s="56"/>
      <c r="H18" s="56">
        <v>231.55</v>
      </c>
      <c r="I18" s="56" t="s">
        <v>121</v>
      </c>
      <c r="J18" s="56">
        <f>IF(C18&gt;$H$1,C18-$H$1,0)</f>
        <v>0</v>
      </c>
      <c r="K18" s="57"/>
    </row>
    <row r="19" spans="1:12" x14ac:dyDescent="0.2">
      <c r="A19" s="50">
        <v>45717</v>
      </c>
      <c r="B19" s="51">
        <v>350</v>
      </c>
      <c r="C19" s="52">
        <v>11.64</v>
      </c>
      <c r="D19" s="52"/>
      <c r="E19" s="52">
        <v>6</v>
      </c>
      <c r="F19" s="52"/>
      <c r="G19" s="52"/>
      <c r="H19" s="52"/>
      <c r="I19" s="52"/>
      <c r="J19" s="52">
        <f>IF(C19&gt;$H$1,C19-$H$1,0)</f>
        <v>0</v>
      </c>
      <c r="K19" s="53"/>
    </row>
    <row r="20" spans="1:12" x14ac:dyDescent="0.2">
      <c r="A20" s="54">
        <v>45748</v>
      </c>
      <c r="B20" s="55">
        <v>350</v>
      </c>
      <c r="C20" s="56">
        <v>9.44</v>
      </c>
      <c r="D20" s="56"/>
      <c r="E20" s="56">
        <v>6</v>
      </c>
      <c r="F20" s="56"/>
      <c r="G20" s="56"/>
      <c r="H20" s="56"/>
      <c r="I20" s="56"/>
      <c r="J20" s="56">
        <f>IF(C20&gt;$H$1,C20-$H$1,0)</f>
        <v>0</v>
      </c>
      <c r="K20" s="57"/>
    </row>
    <row r="21" spans="1:12" x14ac:dyDescent="0.2">
      <c r="A21" s="50">
        <v>45778</v>
      </c>
      <c r="B21" s="51">
        <v>350</v>
      </c>
      <c r="C21" s="52">
        <v>17.47</v>
      </c>
      <c r="D21" s="52"/>
      <c r="E21" s="52">
        <v>6</v>
      </c>
      <c r="F21" s="52"/>
      <c r="G21" s="52"/>
      <c r="H21" s="52"/>
      <c r="I21" s="52"/>
      <c r="J21" s="52">
        <f>IF(C21&gt;$H$1,C21-$H$1,0)</f>
        <v>2.4699999999999989</v>
      </c>
      <c r="K21" s="53"/>
    </row>
    <row r="22" spans="1:12" x14ac:dyDescent="0.2">
      <c r="A22" s="54">
        <v>45809</v>
      </c>
      <c r="B22" s="55">
        <v>350</v>
      </c>
      <c r="C22" s="56">
        <v>19.5</v>
      </c>
      <c r="D22" s="56"/>
      <c r="E22" s="56">
        <v>6</v>
      </c>
      <c r="F22" s="56"/>
      <c r="G22" s="56"/>
      <c r="H22" s="56"/>
      <c r="I22" s="56"/>
      <c r="J22" s="56">
        <f>IF(C22&gt;$H$1,C22-$H$1,0)</f>
        <v>4.5</v>
      </c>
      <c r="K22" s="57"/>
    </row>
    <row r="23" spans="1:12" x14ac:dyDescent="0.2">
      <c r="A23" s="50">
        <v>45839</v>
      </c>
      <c r="B23" s="51">
        <v>350</v>
      </c>
      <c r="C23" s="52">
        <v>18.84</v>
      </c>
      <c r="D23" s="52"/>
      <c r="E23" s="52">
        <v>6</v>
      </c>
      <c r="F23" s="52"/>
      <c r="G23" s="52"/>
      <c r="H23" s="52"/>
      <c r="I23" s="52"/>
      <c r="J23" s="52">
        <f>IF(C23&gt;$H$1,C23-$H$1,0)</f>
        <v>3.84</v>
      </c>
      <c r="K23" s="53"/>
    </row>
    <row r="24" spans="1:12" x14ac:dyDescent="0.2">
      <c r="A24" s="54">
        <v>45870</v>
      </c>
      <c r="B24" s="55">
        <v>350</v>
      </c>
      <c r="C24" s="56">
        <v>20.9</v>
      </c>
      <c r="D24" s="56"/>
      <c r="E24" s="56">
        <v>6</v>
      </c>
      <c r="F24" s="56"/>
      <c r="G24" s="56"/>
      <c r="H24" s="56"/>
      <c r="I24" s="56"/>
      <c r="J24" s="56">
        <f>IF(C24&gt;$H$1,C24-$H$1,0)</f>
        <v>5.8999999999999986</v>
      </c>
      <c r="K24" s="57"/>
    </row>
    <row r="25" spans="1:12" x14ac:dyDescent="0.2">
      <c r="A25" s="50">
        <v>45901</v>
      </c>
      <c r="B25" s="51">
        <v>350</v>
      </c>
      <c r="C25" s="52">
        <v>19.25</v>
      </c>
      <c r="D25" s="52"/>
      <c r="E25" s="52">
        <v>6</v>
      </c>
      <c r="F25" s="52"/>
      <c r="G25" s="52"/>
      <c r="H25" s="52"/>
      <c r="I25" s="52"/>
      <c r="J25" s="52">
        <f>IF(C25&gt;$H$1,C25-$H$1,0)</f>
        <v>4.25</v>
      </c>
      <c r="K25" s="53"/>
    </row>
    <row r="26" spans="1:12" x14ac:dyDescent="0.2">
      <c r="A26" s="54">
        <v>45931</v>
      </c>
      <c r="B26" s="55">
        <v>350</v>
      </c>
      <c r="C26" s="56">
        <v>15.27</v>
      </c>
      <c r="D26" s="56"/>
      <c r="E26" s="56">
        <v>6</v>
      </c>
      <c r="F26" s="56"/>
      <c r="G26" s="56"/>
      <c r="H26" s="56"/>
      <c r="I26" s="56"/>
      <c r="J26" s="56">
        <f>IF(C26&gt;$H$1,C26-$H$1,0)</f>
        <v>0.26999999999999957</v>
      </c>
      <c r="K26" s="57"/>
    </row>
    <row r="27" spans="1:12" x14ac:dyDescent="0.2">
      <c r="A27" s="50">
        <v>45962</v>
      </c>
      <c r="B27" s="51">
        <v>350</v>
      </c>
      <c r="C27" s="52">
        <v>10.72</v>
      </c>
      <c r="D27" s="52"/>
      <c r="E27" s="52">
        <v>6</v>
      </c>
      <c r="F27" s="52"/>
      <c r="G27" s="52"/>
      <c r="H27" s="52"/>
      <c r="I27" s="52"/>
      <c r="J27" s="52">
        <f>IF(C27&gt;$H$1,C27-$H$1,0)</f>
        <v>0</v>
      </c>
      <c r="K27" s="53"/>
    </row>
    <row r="28" spans="1:12" ht="15.75" thickBot="1" x14ac:dyDescent="0.25">
      <c r="A28" s="58">
        <v>45992</v>
      </c>
      <c r="B28" s="59">
        <v>350</v>
      </c>
      <c r="C28" s="60">
        <v>10.49</v>
      </c>
      <c r="D28" s="60"/>
      <c r="E28" s="60">
        <v>6</v>
      </c>
      <c r="F28" s="60"/>
      <c r="G28" s="60"/>
      <c r="H28" s="60"/>
      <c r="I28" s="60"/>
      <c r="J28" s="60">
        <f>IF(C28&gt;$H$1,C28-$H$1,0)</f>
        <v>0</v>
      </c>
      <c r="K28" s="61"/>
      <c r="L28" s="25">
        <f>SUM(B17:B28)-SUM(C17:C28)-SUM(D17:D28)-SUM(E17:E28)-SUM(F17:F28)-SUM(G17:G28)-SUM(H17:H28)+SUM(J17:J28)</f>
        <v>3745.93</v>
      </c>
    </row>
    <row r="29" spans="1:12" x14ac:dyDescent="0.2">
      <c r="A29" s="62">
        <v>46023</v>
      </c>
      <c r="B29" s="66">
        <v>350</v>
      </c>
      <c r="C29" s="67"/>
      <c r="D29" s="67"/>
      <c r="E29" s="67">
        <v>6</v>
      </c>
      <c r="F29" s="67"/>
      <c r="G29" s="67"/>
      <c r="H29" s="67"/>
      <c r="I29" s="67"/>
      <c r="J29" s="67">
        <f>IF(C29&gt;$H$1,C29-$H$1,0)</f>
        <v>0</v>
      </c>
      <c r="K29" s="68"/>
    </row>
    <row r="30" spans="1:12" x14ac:dyDescent="0.2">
      <c r="A30" s="54">
        <v>46054</v>
      </c>
      <c r="B30" s="55"/>
      <c r="C30" s="56"/>
      <c r="D30" s="56"/>
      <c r="E30" s="56"/>
      <c r="F30" s="56"/>
      <c r="G30" s="56"/>
      <c r="H30" s="56"/>
      <c r="I30" s="56"/>
      <c r="J30" s="56">
        <f>IF(C30&gt;$H$1,C30-$H$1,0)</f>
        <v>0</v>
      </c>
      <c r="K30" s="57"/>
    </row>
    <row r="31" spans="1:12" x14ac:dyDescent="0.2">
      <c r="A31" s="50">
        <v>46082</v>
      </c>
      <c r="B31" s="51"/>
      <c r="C31" s="52"/>
      <c r="D31" s="52"/>
      <c r="E31" s="52"/>
      <c r="F31" s="52"/>
      <c r="G31" s="52"/>
      <c r="H31" s="52"/>
      <c r="I31" s="52"/>
      <c r="J31" s="52">
        <f>IF(C31&gt;$H$1,C31-$H$1,0)</f>
        <v>0</v>
      </c>
      <c r="K31" s="53"/>
    </row>
    <row r="32" spans="1:12" x14ac:dyDescent="0.2">
      <c r="A32" s="54">
        <v>46113</v>
      </c>
      <c r="B32" s="55"/>
      <c r="C32" s="56"/>
      <c r="D32" s="56"/>
      <c r="E32" s="56"/>
      <c r="F32" s="56"/>
      <c r="G32" s="56"/>
      <c r="H32" s="56"/>
      <c r="I32" s="56"/>
      <c r="J32" s="56">
        <f>IF(C32&gt;$H$1,C32-$H$1,0)</f>
        <v>0</v>
      </c>
      <c r="K32" s="57"/>
    </row>
    <row r="33" spans="1:12" x14ac:dyDescent="0.2">
      <c r="A33" s="50">
        <v>46143</v>
      </c>
      <c r="B33" s="51"/>
      <c r="C33" s="52"/>
      <c r="D33" s="52"/>
      <c r="E33" s="52"/>
      <c r="F33" s="52"/>
      <c r="G33" s="52"/>
      <c r="H33" s="52"/>
      <c r="I33" s="52"/>
      <c r="J33" s="52">
        <f>IF(C33&gt;$H$1,C33-$H$1,0)</f>
        <v>0</v>
      </c>
      <c r="K33" s="53"/>
    </row>
    <row r="34" spans="1:12" x14ac:dyDescent="0.2">
      <c r="A34" s="54">
        <v>46174</v>
      </c>
      <c r="B34" s="55"/>
      <c r="C34" s="56"/>
      <c r="D34" s="56"/>
      <c r="E34" s="56"/>
      <c r="F34" s="56"/>
      <c r="G34" s="56"/>
      <c r="H34" s="56"/>
      <c r="I34" s="56"/>
      <c r="J34" s="56">
        <f>IF(C34&gt;$H$1,C34-$H$1,0)</f>
        <v>0</v>
      </c>
      <c r="K34" s="57"/>
    </row>
    <row r="35" spans="1:12" x14ac:dyDescent="0.2">
      <c r="A35" s="50">
        <v>46204</v>
      </c>
      <c r="B35" s="51"/>
      <c r="C35" s="52"/>
      <c r="D35" s="52"/>
      <c r="E35" s="52"/>
      <c r="F35" s="52"/>
      <c r="G35" s="52"/>
      <c r="H35" s="52"/>
      <c r="I35" s="52"/>
      <c r="J35" s="52">
        <f>IF(C35&gt;$H$1,C35-$H$1,0)</f>
        <v>0</v>
      </c>
      <c r="K35" s="53"/>
    </row>
    <row r="36" spans="1:12" x14ac:dyDescent="0.2">
      <c r="A36" s="54">
        <v>46235</v>
      </c>
      <c r="B36" s="55"/>
      <c r="C36" s="56"/>
      <c r="D36" s="56"/>
      <c r="E36" s="56"/>
      <c r="F36" s="56"/>
      <c r="G36" s="56"/>
      <c r="H36" s="56"/>
      <c r="I36" s="56"/>
      <c r="J36" s="56">
        <f>IF(C36&gt;$H$1,C36-$H$1,0)</f>
        <v>0</v>
      </c>
      <c r="K36" s="57"/>
    </row>
    <row r="37" spans="1:12" x14ac:dyDescent="0.2">
      <c r="A37" s="50">
        <v>46266</v>
      </c>
      <c r="B37" s="51"/>
      <c r="C37" s="52"/>
      <c r="D37" s="52"/>
      <c r="E37" s="52"/>
      <c r="F37" s="52"/>
      <c r="G37" s="52"/>
      <c r="H37" s="52"/>
      <c r="I37" s="52"/>
      <c r="J37" s="52">
        <f>IF(C37&gt;$H$1,C37-$H$1,0)</f>
        <v>0</v>
      </c>
      <c r="K37" s="53"/>
    </row>
    <row r="38" spans="1:12" x14ac:dyDescent="0.2">
      <c r="A38" s="54">
        <v>46296</v>
      </c>
      <c r="B38" s="55"/>
      <c r="C38" s="56"/>
      <c r="D38" s="56"/>
      <c r="E38" s="56"/>
      <c r="F38" s="56"/>
      <c r="G38" s="56"/>
      <c r="H38" s="56"/>
      <c r="I38" s="56"/>
      <c r="J38" s="56">
        <f>IF(C38&gt;$H$1,C38-$H$1,0)</f>
        <v>0</v>
      </c>
      <c r="K38" s="57"/>
    </row>
    <row r="39" spans="1:12" x14ac:dyDescent="0.2">
      <c r="A39" s="50">
        <v>46327</v>
      </c>
      <c r="B39" s="51"/>
      <c r="C39" s="52"/>
      <c r="D39" s="52"/>
      <c r="E39" s="52"/>
      <c r="F39" s="52"/>
      <c r="G39" s="52"/>
      <c r="H39" s="52"/>
      <c r="I39" s="52"/>
      <c r="J39" s="52">
        <f>IF(C39&gt;$H$1,C39-$H$1,0)</f>
        <v>0</v>
      </c>
      <c r="K39" s="53"/>
    </row>
    <row r="40" spans="1:12" ht="15.75" thickBot="1" x14ac:dyDescent="0.25">
      <c r="A40" s="58">
        <v>46357</v>
      </c>
      <c r="B40" s="59"/>
      <c r="C40" s="60"/>
      <c r="D40" s="60"/>
      <c r="E40" s="60"/>
      <c r="F40" s="60"/>
      <c r="G40" s="60"/>
      <c r="H40" s="60"/>
      <c r="I40" s="60"/>
      <c r="J40" s="60">
        <f>IF(C40&gt;$H$1,C40-$H$1,0)</f>
        <v>0</v>
      </c>
      <c r="K40" s="61"/>
      <c r="L40" s="25">
        <f>SUM(B29:B40)-SUM(C29:C40)-SUM(D29:D40)-SUM(E29:E40)-SUM(F29:F40)-SUM(G29:G40)-SUM(H29:H40)+SUM(J29:J40)</f>
        <v>344</v>
      </c>
    </row>
    <row r="41" spans="1:12" x14ac:dyDescent="0.2">
      <c r="A41" s="29"/>
      <c r="B41" s="30">
        <f>SUM(B29:B40)</f>
        <v>350</v>
      </c>
      <c r="C41" s="30">
        <f t="shared" ref="C41:J41" si="1">SUM(C29:C40)</f>
        <v>0</v>
      </c>
      <c r="D41" s="30">
        <f t="shared" si="1"/>
        <v>0</v>
      </c>
      <c r="E41" s="30">
        <f t="shared" si="1"/>
        <v>6</v>
      </c>
      <c r="F41" s="30">
        <f t="shared" si="1"/>
        <v>0</v>
      </c>
      <c r="G41" s="30">
        <f t="shared" si="1"/>
        <v>0</v>
      </c>
      <c r="H41" s="30">
        <f t="shared" si="1"/>
        <v>0</v>
      </c>
      <c r="I41" s="30"/>
      <c r="J41" s="30">
        <f t="shared" si="1"/>
        <v>0</v>
      </c>
      <c r="K41" s="31"/>
    </row>
    <row r="42" spans="1:12" x14ac:dyDescent="0.2">
      <c r="A42" s="29" t="s">
        <v>5</v>
      </c>
      <c r="B42" s="30">
        <f>B41-C41-D41-E41-F41-G41-H41+J41</f>
        <v>344</v>
      </c>
      <c r="C42" s="30"/>
      <c r="D42" s="30"/>
      <c r="E42" s="30"/>
      <c r="F42" s="30"/>
      <c r="G42" s="30"/>
      <c r="H42" s="30"/>
      <c r="I42" s="30"/>
      <c r="J42" s="30"/>
      <c r="K42" s="30"/>
    </row>
    <row r="43" spans="1:12" x14ac:dyDescent="0.2">
      <c r="A43" s="29" t="s">
        <v>15</v>
      </c>
      <c r="B43" s="32">
        <f>B42/Master!X3</f>
        <v>8.6E-3</v>
      </c>
      <c r="C43" s="29"/>
      <c r="D43" s="29"/>
      <c r="E43" s="29"/>
      <c r="F43" s="29"/>
      <c r="G43" s="29"/>
      <c r="H43" s="29"/>
      <c r="I43" s="29"/>
      <c r="J43" s="29"/>
      <c r="K43" s="29"/>
    </row>
    <row r="44" spans="1:12" x14ac:dyDescent="0.2">
      <c r="A44" s="24" t="s">
        <v>94</v>
      </c>
      <c r="B44" s="25">
        <f>B4+B42</f>
        <v>344</v>
      </c>
      <c r="C44" s="26" t="s">
        <v>101</v>
      </c>
      <c r="D44" s="27">
        <v>45657</v>
      </c>
      <c r="E44" s="24"/>
      <c r="F44" s="24"/>
      <c r="G44" s="24"/>
      <c r="H44" s="24"/>
      <c r="I44" s="24"/>
      <c r="J44" s="24"/>
      <c r="K44" s="24"/>
    </row>
  </sheetData>
  <pageMargins left="0.7" right="0.7" top="0.75" bottom="0.75" header="0.3" footer="0.3"/>
  <pageSetup orientation="portrait" horizontalDpi="1200" verticalDpi="1200" r:id="rId1"/>
  <headerFooter>
    <oddFooter>&amp;L&amp;1#&amp;"Arial"&amp;10&amp;K000000Non-Business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1CE7-9DB2-744C-A38D-82DBE4DFA1FE}">
  <sheetPr>
    <tabColor theme="4"/>
  </sheetPr>
  <dimension ref="A1:M34"/>
  <sheetViews>
    <sheetView workbookViewId="0">
      <pane ySplit="3" topLeftCell="A7" activePane="bottomLeft" state="frozen"/>
      <selection activeCell="F31" sqref="F31"/>
      <selection pane="bottomLeft" activeCell="N34" sqref="N34"/>
    </sheetView>
  </sheetViews>
  <sheetFormatPr defaultColWidth="8.609375" defaultRowHeight="15" x14ac:dyDescent="0.2"/>
  <cols>
    <col min="1" max="1" width="9.81640625" bestFit="1" customWidth="1"/>
    <col min="2" max="3" width="14.66015625" bestFit="1" customWidth="1"/>
    <col min="4" max="4" width="13.1796875" bestFit="1" customWidth="1"/>
    <col min="5" max="5" width="13.44921875" bestFit="1" customWidth="1"/>
    <col min="6" max="6" width="13.1796875" customWidth="1"/>
    <col min="7" max="7" width="14.796875" customWidth="1"/>
    <col min="8" max="8" width="16.140625" bestFit="1" customWidth="1"/>
    <col min="9" max="9" width="28.25" customWidth="1"/>
    <col min="10" max="10" width="17.08203125" customWidth="1"/>
    <col min="11" max="11" width="12.23828125" bestFit="1" customWidth="1"/>
    <col min="12" max="12" width="10.76171875" bestFit="1" customWidth="1"/>
    <col min="13" max="13" width="14.2578125" bestFit="1" customWidth="1"/>
  </cols>
  <sheetData>
    <row r="1" spans="1:13" x14ac:dyDescent="0.2">
      <c r="A1" s="79" t="s">
        <v>0</v>
      </c>
      <c r="B1" s="80" t="str">
        <f>Master!B6</f>
        <v>2206B</v>
      </c>
      <c r="C1" s="81" t="s">
        <v>38</v>
      </c>
      <c r="D1" s="80" t="str">
        <f>Master!J6</f>
        <v>P3-41</v>
      </c>
      <c r="E1" s="81" t="s">
        <v>2</v>
      </c>
      <c r="F1" s="80">
        <f>Master!N6</f>
        <v>1100331105</v>
      </c>
      <c r="G1" s="81" t="s">
        <v>27</v>
      </c>
      <c r="H1" s="82">
        <f>Master!O6</f>
        <v>25</v>
      </c>
      <c r="I1" s="83"/>
      <c r="J1" s="83"/>
      <c r="K1" s="83"/>
      <c r="L1" s="65"/>
    </row>
    <row r="2" spans="1:13" ht="15.75" thickBot="1" x14ac:dyDescent="0.25">
      <c r="A2" s="84" t="s">
        <v>28</v>
      </c>
      <c r="B2" s="85" t="str">
        <f>Master!C6</f>
        <v>Abdulaziz</v>
      </c>
      <c r="C2" s="86" t="s">
        <v>34</v>
      </c>
      <c r="D2" s="85">
        <f>Master!I6</f>
        <v>552427972</v>
      </c>
      <c r="E2" s="86" t="s">
        <v>29</v>
      </c>
      <c r="F2" s="87">
        <f>Master!K6</f>
        <v>45918</v>
      </c>
      <c r="G2" s="86" t="s">
        <v>30</v>
      </c>
      <c r="H2" s="87">
        <f>Master!L6</f>
        <v>46282</v>
      </c>
      <c r="I2" s="88"/>
      <c r="J2" s="88"/>
      <c r="K2" s="88"/>
      <c r="L2" s="89"/>
    </row>
    <row r="3" spans="1:13" x14ac:dyDescent="0.2">
      <c r="A3" s="28" t="s">
        <v>31</v>
      </c>
      <c r="B3" s="28" t="s">
        <v>32</v>
      </c>
      <c r="C3" s="28" t="s">
        <v>2</v>
      </c>
      <c r="D3" s="28" t="s">
        <v>33</v>
      </c>
      <c r="E3" s="28" t="s">
        <v>3</v>
      </c>
      <c r="F3" s="28" t="s">
        <v>93</v>
      </c>
      <c r="G3" s="28" t="s">
        <v>98</v>
      </c>
      <c r="H3" s="28" t="s">
        <v>96</v>
      </c>
      <c r="I3" s="28" t="s">
        <v>97</v>
      </c>
      <c r="J3" s="28" t="s">
        <v>140</v>
      </c>
      <c r="K3" s="28" t="s">
        <v>95</v>
      </c>
      <c r="L3" s="28" t="s">
        <v>103</v>
      </c>
    </row>
    <row r="4" spans="1:13" x14ac:dyDescent="0.2">
      <c r="A4" s="75" t="s">
        <v>94</v>
      </c>
      <c r="B4" s="76">
        <v>3233.26</v>
      </c>
      <c r="C4" s="77" t="s">
        <v>101</v>
      </c>
      <c r="D4" s="78">
        <v>45291</v>
      </c>
      <c r="E4" s="24"/>
      <c r="F4" s="24"/>
      <c r="G4" s="24"/>
      <c r="H4" s="24"/>
      <c r="I4" s="24"/>
      <c r="J4" s="24"/>
      <c r="K4" s="24"/>
      <c r="L4" s="24"/>
    </row>
    <row r="5" spans="1:13" x14ac:dyDescent="0.2">
      <c r="A5" s="12">
        <v>45292</v>
      </c>
      <c r="B5" s="21">
        <f>Master!$M$6</f>
        <v>540</v>
      </c>
      <c r="C5" s="22">
        <v>15.7</v>
      </c>
      <c r="D5" s="22">
        <v>0</v>
      </c>
      <c r="E5" s="22">
        <v>15.3</v>
      </c>
      <c r="F5" s="22">
        <v>0</v>
      </c>
      <c r="G5" s="22">
        <v>25</v>
      </c>
      <c r="H5" s="22"/>
      <c r="I5" s="22"/>
      <c r="J5" s="22"/>
      <c r="K5" s="22">
        <f>IF((C5+D5)&gt;$H$1,(C5+D5)-$H$1,0)</f>
        <v>0</v>
      </c>
      <c r="L5" s="23"/>
    </row>
    <row r="6" spans="1:13" x14ac:dyDescent="0.2">
      <c r="A6" s="13">
        <v>45323</v>
      </c>
      <c r="B6" s="9">
        <f>Master!$M$6</f>
        <v>540</v>
      </c>
      <c r="C6" s="10">
        <v>14.42</v>
      </c>
      <c r="D6" s="10">
        <v>0</v>
      </c>
      <c r="E6" s="10">
        <v>15.3</v>
      </c>
      <c r="F6" s="10">
        <v>0</v>
      </c>
      <c r="G6" s="10">
        <v>25</v>
      </c>
      <c r="H6" s="10"/>
      <c r="I6" s="10"/>
      <c r="J6" s="10"/>
      <c r="K6" s="10">
        <f>IF((C6+D6)&gt;$H$1,(C6+D6)-$H$1,0)</f>
        <v>0</v>
      </c>
      <c r="L6" s="11"/>
    </row>
    <row r="7" spans="1:13" x14ac:dyDescent="0.2">
      <c r="A7" s="12">
        <v>45352</v>
      </c>
      <c r="B7" s="7">
        <f>Master!$M$6</f>
        <v>540</v>
      </c>
      <c r="C7" s="8">
        <v>14.2</v>
      </c>
      <c r="D7" s="8">
        <v>0</v>
      </c>
      <c r="E7" s="8">
        <v>15.3</v>
      </c>
      <c r="F7" s="8">
        <v>0</v>
      </c>
      <c r="G7" s="8">
        <v>25</v>
      </c>
      <c r="H7" s="8"/>
      <c r="I7" s="8"/>
      <c r="J7" s="8"/>
      <c r="K7" s="8">
        <f>IF((C8+D8)&gt;$H$1,(C8+D8)-$H$1,0)</f>
        <v>0</v>
      </c>
      <c r="L7" s="6"/>
    </row>
    <row r="8" spans="1:13" x14ac:dyDescent="0.2">
      <c r="A8" s="13">
        <v>45383</v>
      </c>
      <c r="B8" s="9">
        <f>Master!$M$6</f>
        <v>540</v>
      </c>
      <c r="C8" s="10">
        <v>13.42</v>
      </c>
      <c r="D8" s="10">
        <v>0</v>
      </c>
      <c r="E8" s="10">
        <v>15.3</v>
      </c>
      <c r="F8" s="10">
        <v>0</v>
      </c>
      <c r="G8" s="10">
        <v>25</v>
      </c>
      <c r="H8" s="10"/>
      <c r="I8" s="10"/>
      <c r="J8" s="10"/>
      <c r="K8" s="10">
        <f>IF((C8+D8)&gt;$H$1,(C8+D8)-$H$1,0)</f>
        <v>0</v>
      </c>
      <c r="L8" s="11"/>
    </row>
    <row r="9" spans="1:13" x14ac:dyDescent="0.2">
      <c r="A9" s="12">
        <v>45413</v>
      </c>
      <c r="B9" s="7">
        <f>Master!$M$6</f>
        <v>540</v>
      </c>
      <c r="C9" s="8">
        <v>16.86</v>
      </c>
      <c r="D9" s="8">
        <v>0</v>
      </c>
      <c r="E9" s="8">
        <v>15.3</v>
      </c>
      <c r="F9" s="8">
        <v>0</v>
      </c>
      <c r="G9" s="8">
        <v>25</v>
      </c>
      <c r="H9" s="73">
        <v>4000</v>
      </c>
      <c r="I9" s="73" t="s">
        <v>102</v>
      </c>
      <c r="J9" s="73"/>
      <c r="K9" s="8">
        <f>IF((C9+D9)&gt;$H$1,(C9+D9)-$H$1,0)</f>
        <v>0</v>
      </c>
      <c r="L9" s="6"/>
    </row>
    <row r="10" spans="1:13" x14ac:dyDescent="0.2">
      <c r="A10" s="13">
        <v>45444</v>
      </c>
      <c r="B10" s="9">
        <f>Master!$M$6</f>
        <v>540</v>
      </c>
      <c r="C10" s="10">
        <v>15.1</v>
      </c>
      <c r="D10" s="10">
        <v>0</v>
      </c>
      <c r="E10" s="10">
        <v>15.3</v>
      </c>
      <c r="F10" s="10">
        <v>0</v>
      </c>
      <c r="G10" s="10">
        <v>25</v>
      </c>
      <c r="H10" s="10"/>
      <c r="I10" s="10"/>
      <c r="J10" s="10"/>
      <c r="K10" s="10">
        <f>IF((C10+D10)&gt;$H$1,(C10+D10)-$H$1,0)</f>
        <v>0</v>
      </c>
      <c r="L10" s="11"/>
    </row>
    <row r="11" spans="1:13" x14ac:dyDescent="0.2">
      <c r="A11" s="12">
        <v>45474</v>
      </c>
      <c r="B11" s="7">
        <f>Master!$M$6</f>
        <v>540</v>
      </c>
      <c r="C11" s="8">
        <v>30.43</v>
      </c>
      <c r="D11" s="8">
        <v>0</v>
      </c>
      <c r="E11" s="8">
        <v>15.3</v>
      </c>
      <c r="F11" s="8">
        <v>0</v>
      </c>
      <c r="G11" s="8">
        <v>25</v>
      </c>
      <c r="H11" s="8"/>
      <c r="I11" s="8"/>
      <c r="J11" s="8"/>
      <c r="K11" s="8">
        <f>IF((C11+D11)&gt;$H$1,(C11+D11)-$H$1,0)</f>
        <v>5.43</v>
      </c>
      <c r="L11" s="6" t="s">
        <v>91</v>
      </c>
    </row>
    <row r="12" spans="1:13" x14ac:dyDescent="0.2">
      <c r="A12" s="13">
        <v>45505</v>
      </c>
      <c r="B12" s="9">
        <f>Master!$M$6</f>
        <v>540</v>
      </c>
      <c r="C12" s="10">
        <v>32.380000000000003</v>
      </c>
      <c r="D12" s="10">
        <v>0</v>
      </c>
      <c r="E12" s="10">
        <v>15.3</v>
      </c>
      <c r="F12" s="10">
        <v>0</v>
      </c>
      <c r="G12" s="10">
        <v>25</v>
      </c>
      <c r="H12" s="10"/>
      <c r="I12" s="10"/>
      <c r="J12" s="10"/>
      <c r="K12" s="10">
        <f>IF((C12+D12)&gt;$H$1,(C12+D12)-$H$1,0)</f>
        <v>7.3800000000000026</v>
      </c>
      <c r="L12" s="11" t="s">
        <v>91</v>
      </c>
    </row>
    <row r="13" spans="1:13" x14ac:dyDescent="0.2">
      <c r="A13" s="12">
        <v>45536</v>
      </c>
      <c r="B13" s="7">
        <f>Master!$M$6</f>
        <v>540</v>
      </c>
      <c r="C13" s="8">
        <v>24.75</v>
      </c>
      <c r="D13" s="8">
        <v>0</v>
      </c>
      <c r="E13" s="8">
        <v>15.3</v>
      </c>
      <c r="F13" s="8">
        <v>0</v>
      </c>
      <c r="G13" s="8">
        <v>25</v>
      </c>
      <c r="H13" s="8">
        <v>118.2</v>
      </c>
      <c r="I13" s="8" t="s">
        <v>107</v>
      </c>
      <c r="J13" s="8"/>
      <c r="K13" s="8">
        <f>IF((C13+D13)&gt;$H$1,(C13+D13)-$H$1,0)</f>
        <v>0</v>
      </c>
      <c r="L13" s="6"/>
    </row>
    <row r="14" spans="1:13" x14ac:dyDescent="0.2">
      <c r="A14" s="13">
        <v>45566</v>
      </c>
      <c r="B14" s="9">
        <f>Master!$M$6</f>
        <v>540</v>
      </c>
      <c r="C14" s="10">
        <v>23.19</v>
      </c>
      <c r="D14" s="10">
        <v>0</v>
      </c>
      <c r="E14" s="10">
        <v>15.3</v>
      </c>
      <c r="F14" s="10">
        <v>0</v>
      </c>
      <c r="G14" s="10">
        <v>25</v>
      </c>
      <c r="H14" s="10">
        <v>1157</v>
      </c>
      <c r="I14" s="10" t="s">
        <v>108</v>
      </c>
      <c r="J14" s="10"/>
      <c r="K14" s="10">
        <f>IF((C14+D14)&gt;$H$1,(C14+D14)-$H$1,0)</f>
        <v>0</v>
      </c>
      <c r="L14" s="11"/>
    </row>
    <row r="15" spans="1:13" x14ac:dyDescent="0.2">
      <c r="A15" s="12">
        <v>45597</v>
      </c>
      <c r="B15" s="7">
        <f>Master!$M$6</f>
        <v>540</v>
      </c>
      <c r="C15" s="8">
        <v>20.18</v>
      </c>
      <c r="D15" s="8">
        <v>0</v>
      </c>
      <c r="E15" s="8">
        <v>15.3</v>
      </c>
      <c r="F15" s="8">
        <v>0</v>
      </c>
      <c r="G15" s="8">
        <v>25</v>
      </c>
      <c r="H15" s="8">
        <v>150</v>
      </c>
      <c r="I15" s="8" t="s">
        <v>123</v>
      </c>
      <c r="J15" s="8"/>
      <c r="K15" s="8">
        <f>IF((C15+D15)&gt;$H$1,(C15+D15)-$H$1,0)</f>
        <v>0</v>
      </c>
      <c r="L15" s="6"/>
    </row>
    <row r="16" spans="1:13" x14ac:dyDescent="0.2">
      <c r="A16" s="13">
        <v>45627</v>
      </c>
      <c r="B16" s="9">
        <f>Master!$M$6</f>
        <v>540</v>
      </c>
      <c r="C16" s="10">
        <v>13.12</v>
      </c>
      <c r="D16" s="10">
        <v>0</v>
      </c>
      <c r="E16" s="10">
        <v>15.3</v>
      </c>
      <c r="F16" s="10">
        <v>0</v>
      </c>
      <c r="G16" s="10">
        <v>25</v>
      </c>
      <c r="H16" s="74">
        <v>2603.52</v>
      </c>
      <c r="I16" s="74" t="s">
        <v>125</v>
      </c>
      <c r="J16" s="74"/>
      <c r="K16" s="10">
        <f>IF((C16+D16)&gt;$H$1,(C16+D16)-$H$1,0)</f>
        <v>0</v>
      </c>
      <c r="L16" s="11"/>
      <c r="M16" s="25">
        <f>SUM(B5:B16)-SUM(C5:C16)-SUM(D5:D16)-SUM(E5:E16)-SUM(F5:F16)-SUM(G5:G16)-SUM(H5:H16)+SUM(K5:K16)</f>
        <v>-2253.2599999999998</v>
      </c>
    </row>
    <row r="17" spans="1:13" x14ac:dyDescent="0.2">
      <c r="A17" s="29"/>
      <c r="B17" s="30">
        <f>SUM(B5:B16)</f>
        <v>6480</v>
      </c>
      <c r="C17" s="31">
        <f t="shared" ref="C17" si="0">SUM(C5:C16)</f>
        <v>233.75</v>
      </c>
      <c r="D17" s="31">
        <f>SUM(D5:D16)</f>
        <v>0</v>
      </c>
      <c r="E17" s="31">
        <f t="shared" ref="E17:K17" si="1">SUM(E5:E16)</f>
        <v>183.60000000000002</v>
      </c>
      <c r="F17" s="31">
        <f t="shared" si="1"/>
        <v>0</v>
      </c>
      <c r="G17" s="31">
        <f t="shared" si="1"/>
        <v>300</v>
      </c>
      <c r="H17" s="31">
        <f t="shared" si="1"/>
        <v>8028.7199999999993</v>
      </c>
      <c r="I17" s="31"/>
      <c r="J17" s="31"/>
      <c r="K17" s="31">
        <f t="shared" si="1"/>
        <v>12.810000000000002</v>
      </c>
      <c r="L17" s="31"/>
    </row>
    <row r="18" spans="1:13" x14ac:dyDescent="0.2">
      <c r="A18" s="29" t="s">
        <v>5</v>
      </c>
      <c r="B18" s="30">
        <f>B17-C17-D17-E17-F17-G17-H17+K17</f>
        <v>-2253.2599999999998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3" x14ac:dyDescent="0.2">
      <c r="A19" s="92" t="s">
        <v>94</v>
      </c>
      <c r="B19" s="93">
        <f>B4+B18</f>
        <v>980.00000000000045</v>
      </c>
      <c r="C19" s="94" t="s">
        <v>101</v>
      </c>
      <c r="D19" s="95">
        <v>45657</v>
      </c>
      <c r="E19" s="24"/>
      <c r="F19" s="24"/>
      <c r="G19" s="24"/>
      <c r="H19" s="24"/>
      <c r="I19" s="72"/>
      <c r="J19" s="72"/>
      <c r="K19" s="24"/>
      <c r="L19" s="24"/>
    </row>
    <row r="20" spans="1:13" x14ac:dyDescent="0.2">
      <c r="A20" s="12">
        <v>45658</v>
      </c>
      <c r="B20" s="21">
        <f>Master!$M$6</f>
        <v>540</v>
      </c>
      <c r="C20" s="22">
        <v>18.8</v>
      </c>
      <c r="D20" s="22">
        <v>0</v>
      </c>
      <c r="E20" s="22">
        <v>15.3</v>
      </c>
      <c r="F20" s="22">
        <v>0</v>
      </c>
      <c r="G20" s="22">
        <v>25</v>
      </c>
      <c r="H20" s="22"/>
      <c r="I20" s="22"/>
      <c r="J20" s="22"/>
      <c r="K20" s="22">
        <f>IF((C20+D20)&gt;$H$1,(C20+D20)-$H$1,0)</f>
        <v>0</v>
      </c>
      <c r="L20" s="23"/>
    </row>
    <row r="21" spans="1:13" x14ac:dyDescent="0.2">
      <c r="A21" s="13">
        <v>45689</v>
      </c>
      <c r="B21" s="9">
        <v>500</v>
      </c>
      <c r="C21" s="10">
        <v>17.52</v>
      </c>
      <c r="D21" s="10">
        <v>0</v>
      </c>
      <c r="E21" s="10">
        <v>15.3</v>
      </c>
      <c r="F21" s="10">
        <v>0</v>
      </c>
      <c r="G21" s="10">
        <v>25</v>
      </c>
      <c r="H21" s="56">
        <v>463.1</v>
      </c>
      <c r="I21" s="56" t="s">
        <v>121</v>
      </c>
      <c r="J21" s="10">
        <v>400</v>
      </c>
      <c r="K21" s="10">
        <f>IF((C21+D21)&gt;$H$1,(C21+D21)-$H$1,0)</f>
        <v>0</v>
      </c>
      <c r="L21" s="11"/>
    </row>
    <row r="22" spans="1:13" x14ac:dyDescent="0.2">
      <c r="A22" s="12">
        <v>45717</v>
      </c>
      <c r="B22" s="7">
        <v>500</v>
      </c>
      <c r="C22" s="8">
        <v>19.059999999999999</v>
      </c>
      <c r="D22" s="8">
        <v>0</v>
      </c>
      <c r="E22" s="8">
        <v>15.3</v>
      </c>
      <c r="F22" s="8">
        <v>0</v>
      </c>
      <c r="G22" s="8">
        <v>25</v>
      </c>
      <c r="H22" s="8"/>
      <c r="I22" s="8"/>
      <c r="J22" s="8">
        <v>400</v>
      </c>
      <c r="K22" s="8">
        <f>IF((C23+D23)&gt;$H$1,(C23+D23)-$H$1,0)</f>
        <v>0</v>
      </c>
      <c r="L22" s="6"/>
    </row>
    <row r="23" spans="1:13" x14ac:dyDescent="0.2">
      <c r="A23" s="13">
        <v>45748</v>
      </c>
      <c r="B23" s="9">
        <v>500</v>
      </c>
      <c r="C23" s="10">
        <v>11.67</v>
      </c>
      <c r="D23" s="10">
        <v>0</v>
      </c>
      <c r="E23" s="10">
        <v>15.3</v>
      </c>
      <c r="F23" s="10">
        <v>0</v>
      </c>
      <c r="G23" s="10">
        <v>25</v>
      </c>
      <c r="H23" s="10"/>
      <c r="I23" s="10"/>
      <c r="J23" s="10">
        <v>400</v>
      </c>
      <c r="K23" s="10">
        <f>IF((C23+D23)&gt;$H$1,(C23+D23)-$H$1,0)</f>
        <v>0</v>
      </c>
      <c r="L23" s="11"/>
    </row>
    <row r="24" spans="1:13" x14ac:dyDescent="0.2">
      <c r="A24" s="12">
        <v>45778</v>
      </c>
      <c r="B24" s="7">
        <v>500</v>
      </c>
      <c r="C24" s="8">
        <v>19.760000000000002</v>
      </c>
      <c r="D24" s="8">
        <v>0</v>
      </c>
      <c r="E24" s="8">
        <v>15.3</v>
      </c>
      <c r="F24" s="8">
        <v>0</v>
      </c>
      <c r="G24" s="8">
        <v>25</v>
      </c>
      <c r="H24" s="73"/>
      <c r="I24" s="73"/>
      <c r="J24" s="22">
        <v>400</v>
      </c>
      <c r="K24" s="8">
        <f>IF((C24+D24)&gt;$H$1,(C24+D24)-$H$1,0)</f>
        <v>0</v>
      </c>
      <c r="L24" s="6"/>
    </row>
    <row r="25" spans="1:13" x14ac:dyDescent="0.2">
      <c r="A25" s="13">
        <v>45809</v>
      </c>
      <c r="B25" s="9">
        <v>500</v>
      </c>
      <c r="C25" s="10">
        <v>24.57</v>
      </c>
      <c r="D25" s="10">
        <v>0</v>
      </c>
      <c r="E25" s="10">
        <v>16.18</v>
      </c>
      <c r="F25" s="10">
        <v>0</v>
      </c>
      <c r="G25" s="10">
        <v>25</v>
      </c>
      <c r="H25" s="10"/>
      <c r="I25" s="10"/>
      <c r="J25" s="10">
        <v>400</v>
      </c>
      <c r="K25" s="10">
        <f>IF((C25+D25)&gt;$H$1,(C25+D25)-$H$1,0)</f>
        <v>0</v>
      </c>
      <c r="L25" s="11"/>
    </row>
    <row r="26" spans="1:13" x14ac:dyDescent="0.2">
      <c r="A26" s="12">
        <v>45839</v>
      </c>
      <c r="B26" s="7">
        <v>500</v>
      </c>
      <c r="C26" s="8">
        <v>26.74</v>
      </c>
      <c r="D26" s="8">
        <v>0</v>
      </c>
      <c r="E26" s="8">
        <v>16.18</v>
      </c>
      <c r="F26" s="8">
        <v>0</v>
      </c>
      <c r="G26" s="8">
        <v>25</v>
      </c>
      <c r="H26" s="8"/>
      <c r="I26" s="8"/>
      <c r="J26" s="8">
        <v>400</v>
      </c>
      <c r="K26" s="8">
        <f>IF((C26+D26)&gt;$H$1,(C26+D26)-$H$1,0)</f>
        <v>1.7399999999999984</v>
      </c>
      <c r="L26" s="6" t="s">
        <v>154</v>
      </c>
    </row>
    <row r="27" spans="1:13" x14ac:dyDescent="0.2">
      <c r="A27" s="13">
        <v>45870</v>
      </c>
      <c r="B27" s="9">
        <v>500</v>
      </c>
      <c r="C27" s="10">
        <v>26.4</v>
      </c>
      <c r="D27" s="10">
        <v>0</v>
      </c>
      <c r="E27" s="10">
        <v>16.18</v>
      </c>
      <c r="F27" s="10">
        <v>0</v>
      </c>
      <c r="G27" s="10">
        <v>25</v>
      </c>
      <c r="H27" s="10"/>
      <c r="I27" s="10"/>
      <c r="J27" s="10">
        <v>400</v>
      </c>
      <c r="K27" s="10">
        <f>IF((C27+D27)&gt;$H$1,(C27+D27)-$H$1,0)</f>
        <v>1.3999999999999986</v>
      </c>
      <c r="L27" s="11" t="s">
        <v>154</v>
      </c>
    </row>
    <row r="28" spans="1:13" x14ac:dyDescent="0.2">
      <c r="A28" s="12">
        <v>45901</v>
      </c>
      <c r="B28" s="7">
        <v>1080</v>
      </c>
      <c r="C28" s="8">
        <v>24.75</v>
      </c>
      <c r="D28" s="8">
        <v>0</v>
      </c>
      <c r="E28" s="8">
        <v>16.18</v>
      </c>
      <c r="F28" s="8">
        <v>0</v>
      </c>
      <c r="G28" s="8">
        <v>27</v>
      </c>
      <c r="H28" s="8">
        <f>30+12+10+11+8+30</f>
        <v>101</v>
      </c>
      <c r="I28" s="8" t="s">
        <v>156</v>
      </c>
      <c r="J28" s="8">
        <v>400</v>
      </c>
      <c r="K28" s="8">
        <f>IF((C28+D28)&gt;$H$1,(C28+D28)-$H$1,0)</f>
        <v>0</v>
      </c>
      <c r="L28" s="6"/>
    </row>
    <row r="29" spans="1:13" x14ac:dyDescent="0.2">
      <c r="A29" s="13">
        <v>45931</v>
      </c>
      <c r="B29" s="9">
        <v>-500</v>
      </c>
      <c r="C29" s="10">
        <v>0</v>
      </c>
      <c r="D29" s="10">
        <v>0</v>
      </c>
      <c r="E29" s="10">
        <v>16.18</v>
      </c>
      <c r="F29" s="10">
        <v>0</v>
      </c>
      <c r="G29" s="10">
        <v>27</v>
      </c>
      <c r="H29" s="10">
        <v>540</v>
      </c>
      <c r="I29" s="10" t="s">
        <v>168</v>
      </c>
      <c r="J29" s="10">
        <v>400</v>
      </c>
      <c r="K29" s="10">
        <f>IF((C29+D29)&gt;$H$1,(C29+D29)-$H$1,0)</f>
        <v>0</v>
      </c>
      <c r="L29" s="11"/>
    </row>
    <row r="30" spans="1:13" x14ac:dyDescent="0.2">
      <c r="A30" s="12">
        <v>45962</v>
      </c>
      <c r="B30" s="7">
        <v>0</v>
      </c>
      <c r="C30" s="8">
        <v>0</v>
      </c>
      <c r="D30" s="8">
        <v>0</v>
      </c>
      <c r="E30" s="8">
        <v>16.18</v>
      </c>
      <c r="F30" s="8">
        <v>0</v>
      </c>
      <c r="G30" s="8">
        <v>27</v>
      </c>
      <c r="H30" s="8">
        <v>60</v>
      </c>
      <c r="I30" s="8" t="s">
        <v>164</v>
      </c>
      <c r="J30" s="8"/>
      <c r="K30" s="8">
        <f>IF((C30+D30)&gt;$H$1,(C30+D30)-$H$1,0)</f>
        <v>0</v>
      </c>
      <c r="L30" s="6"/>
    </row>
    <row r="31" spans="1:13" x14ac:dyDescent="0.2">
      <c r="A31" s="13">
        <v>45992</v>
      </c>
      <c r="B31" s="9"/>
      <c r="C31" s="10"/>
      <c r="D31" s="10">
        <v>0</v>
      </c>
      <c r="E31" s="10"/>
      <c r="F31" s="10">
        <v>0</v>
      </c>
      <c r="G31" s="10">
        <v>27</v>
      </c>
      <c r="H31" s="74"/>
      <c r="I31" s="74"/>
      <c r="J31" s="74"/>
      <c r="K31" s="10">
        <f>IF((C31+D31)&gt;$H$1,(C31+D31)-$H$1,0)</f>
        <v>0</v>
      </c>
      <c r="L31" s="11"/>
      <c r="M31" s="25">
        <f>SUM(B20:B31)-SUM(C20:C31)-SUM(D20:D31)-SUM(E20:E31)-SUM(F20:F31)-SUM(G20:G31)-SUM(H20:H31)+SUM(K20:K31)</f>
        <v>2788.1899999999996</v>
      </c>
    </row>
    <row r="32" spans="1:13" x14ac:dyDescent="0.2">
      <c r="A32" s="29"/>
      <c r="B32" s="30">
        <f>SUM(B20:B31)</f>
        <v>4620</v>
      </c>
      <c r="C32" s="31">
        <f t="shared" ref="C32" si="2">SUM(C20:C31)</f>
        <v>189.27</v>
      </c>
      <c r="D32" s="31">
        <f>SUM(D20:D31)</f>
        <v>0</v>
      </c>
      <c r="E32" s="31">
        <f t="shared" ref="E32:J32" si="3">SUM(E20:E31)</f>
        <v>173.58000000000004</v>
      </c>
      <c r="F32" s="31">
        <f t="shared" si="3"/>
        <v>0</v>
      </c>
      <c r="G32" s="31">
        <f t="shared" si="3"/>
        <v>308</v>
      </c>
      <c r="H32" s="31">
        <f t="shared" si="3"/>
        <v>1164.0999999999999</v>
      </c>
      <c r="I32" s="31"/>
      <c r="J32" s="31">
        <f t="shared" si="3"/>
        <v>3600</v>
      </c>
      <c r="K32" s="31"/>
      <c r="L32" s="31"/>
    </row>
    <row r="33" spans="1:12" x14ac:dyDescent="0.2">
      <c r="A33" s="29" t="s">
        <v>5</v>
      </c>
      <c r="B33" s="30">
        <f>B32-C32-D32-E32-F32-G32-H32+K32</f>
        <v>2785.0499999999997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spans="1:12" x14ac:dyDescent="0.2">
      <c r="A34" s="92" t="s">
        <v>94</v>
      </c>
      <c r="B34" s="93">
        <f>B19+B33-J32</f>
        <v>165.05000000000018</v>
      </c>
      <c r="C34" s="94" t="s">
        <v>101</v>
      </c>
      <c r="D34" s="95">
        <f ca="1">TODAY()</f>
        <v>46029</v>
      </c>
      <c r="E34" s="24"/>
      <c r="F34" s="24"/>
      <c r="G34" s="24"/>
      <c r="H34" s="24"/>
      <c r="I34" s="72"/>
      <c r="J34" s="72"/>
      <c r="K34" s="24"/>
      <c r="L34" s="24"/>
    </row>
  </sheetData>
  <pageMargins left="0.7" right="0.7" top="0.75" bottom="0.75" header="0.3" footer="0.3"/>
  <pageSetup orientation="landscape" horizontalDpi="1200" verticalDpi="1200" r:id="rId1"/>
  <headerFooter>
    <oddHeader>&amp;L&amp;"Arial"&amp;10&amp;K000000&amp;1#</oddHeader>
    <oddFooter>&amp;L&amp;1#&amp;"Arial"&amp;10&amp;K000000Saudi Aramco: Company General Use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4F49-0AD6-4A65-881F-81EFF6DF71EF}">
  <sheetPr>
    <tabColor theme="4"/>
  </sheetPr>
  <dimension ref="A1:R53"/>
  <sheetViews>
    <sheetView topLeftCell="H1" workbookViewId="0">
      <pane ySplit="3" topLeftCell="H4" activePane="bottomLeft" state="frozen"/>
      <selection activeCell="B43" sqref="B43"/>
      <selection pane="bottomLeft" activeCell="N1" sqref="N1:R11"/>
    </sheetView>
  </sheetViews>
  <sheetFormatPr defaultColWidth="8.609375" defaultRowHeight="15" x14ac:dyDescent="0.2"/>
  <cols>
    <col min="1" max="1" width="9.953125" customWidth="1"/>
    <col min="2" max="2" width="14.390625" bestFit="1" customWidth="1"/>
    <col min="3" max="3" width="13.1796875" bestFit="1" customWidth="1"/>
    <col min="4" max="4" width="13.1796875" customWidth="1"/>
    <col min="5" max="5" width="14.66015625" customWidth="1"/>
    <col min="6" max="6" width="12.375" bestFit="1" customWidth="1"/>
    <col min="7" max="7" width="11.8359375" bestFit="1" customWidth="1"/>
    <col min="8" max="8" width="13.1796875" bestFit="1" customWidth="1"/>
    <col min="9" max="9" width="19.63671875" customWidth="1"/>
    <col min="10" max="10" width="13.1796875" bestFit="1" customWidth="1"/>
    <col min="11" max="11" width="10.76171875" bestFit="1" customWidth="1"/>
    <col min="12" max="12" width="13.71875" bestFit="1" customWidth="1"/>
    <col min="15" max="15" width="10.35546875" customWidth="1"/>
    <col min="16" max="16" width="12.5078125" customWidth="1"/>
    <col min="17" max="17" width="11.97265625" customWidth="1"/>
    <col min="18" max="18" width="14.796875" customWidth="1"/>
  </cols>
  <sheetData>
    <row r="1" spans="1:18" x14ac:dyDescent="0.2">
      <c r="A1" s="79" t="s">
        <v>0</v>
      </c>
      <c r="B1" s="80" t="str">
        <f>Master!B7</f>
        <v>2306B</v>
      </c>
      <c r="C1" s="81" t="s">
        <v>38</v>
      </c>
      <c r="D1" s="80" t="str">
        <f>Master!J7</f>
        <v>P3-40</v>
      </c>
      <c r="E1" s="81" t="s">
        <v>2</v>
      </c>
      <c r="F1" s="80">
        <f>Master!N7</f>
        <v>1100297470</v>
      </c>
      <c r="G1" s="81" t="s">
        <v>27</v>
      </c>
      <c r="H1" s="82">
        <f>Master!O7</f>
        <v>30</v>
      </c>
      <c r="I1" s="83"/>
      <c r="J1" s="83"/>
      <c r="K1" s="65"/>
      <c r="N1" s="79" t="s">
        <v>0</v>
      </c>
      <c r="O1" s="80" t="str">
        <f>Master!B7</f>
        <v>2306B</v>
      </c>
      <c r="P1" s="81"/>
      <c r="Q1" s="81" t="s">
        <v>2</v>
      </c>
      <c r="R1" s="121">
        <f>Master!N7</f>
        <v>1100297470</v>
      </c>
    </row>
    <row r="2" spans="1:18" ht="15.75" thickBot="1" x14ac:dyDescent="0.25">
      <c r="A2" s="84" t="s">
        <v>28</v>
      </c>
      <c r="B2" s="85" t="str">
        <f>Master!C7</f>
        <v>Loai</v>
      </c>
      <c r="C2" s="86" t="s">
        <v>34</v>
      </c>
      <c r="D2" s="85" t="str">
        <f>Master!I7</f>
        <v>6694 4446</v>
      </c>
      <c r="E2" s="86" t="s">
        <v>29</v>
      </c>
      <c r="F2" s="87">
        <f>Master!K7</f>
        <v>45017</v>
      </c>
      <c r="G2" s="86" t="s">
        <v>30</v>
      </c>
      <c r="H2" s="87">
        <f>Master!L7</f>
        <v>46112</v>
      </c>
      <c r="I2" s="88"/>
      <c r="J2" s="88"/>
      <c r="K2" s="89"/>
      <c r="N2" s="84" t="s">
        <v>28</v>
      </c>
      <c r="O2" s="85" t="str">
        <f>Master!C7</f>
        <v>Loai</v>
      </c>
      <c r="P2" s="86"/>
      <c r="Q2" s="122" t="s">
        <v>27</v>
      </c>
      <c r="R2" s="128">
        <f>Master!O7</f>
        <v>30</v>
      </c>
    </row>
    <row r="3" spans="1:18" ht="15.75" thickBot="1" x14ac:dyDescent="0.25">
      <c r="A3" s="28" t="s">
        <v>31</v>
      </c>
      <c r="B3" s="28" t="s">
        <v>32</v>
      </c>
      <c r="C3" s="28" t="s">
        <v>2</v>
      </c>
      <c r="D3" s="28" t="s">
        <v>33</v>
      </c>
      <c r="E3" s="28" t="s">
        <v>3</v>
      </c>
      <c r="F3" s="28" t="s">
        <v>93</v>
      </c>
      <c r="G3" s="28" t="s">
        <v>98</v>
      </c>
      <c r="H3" s="28" t="s">
        <v>96</v>
      </c>
      <c r="I3" s="28" t="s">
        <v>97</v>
      </c>
      <c r="J3" s="28" t="s">
        <v>95</v>
      </c>
      <c r="K3" s="28" t="s">
        <v>169</v>
      </c>
      <c r="N3" s="124" t="s">
        <v>31</v>
      </c>
      <c r="O3" s="125"/>
      <c r="P3" s="125" t="s">
        <v>2</v>
      </c>
      <c r="Q3" s="125"/>
      <c r="R3" s="126" t="s">
        <v>95</v>
      </c>
    </row>
    <row r="4" spans="1:18" ht="15.75" thickBot="1" x14ac:dyDescent="0.25">
      <c r="A4" s="24" t="s">
        <v>94</v>
      </c>
      <c r="B4" s="25">
        <v>0</v>
      </c>
      <c r="C4" s="26" t="s">
        <v>101</v>
      </c>
      <c r="D4" s="27">
        <v>45291</v>
      </c>
      <c r="E4" s="24"/>
      <c r="F4" s="24"/>
      <c r="G4" s="24"/>
      <c r="H4" s="24"/>
      <c r="I4" s="24"/>
      <c r="J4" s="24"/>
      <c r="K4" s="24"/>
      <c r="N4" s="62">
        <v>45778</v>
      </c>
      <c r="O4" s="63"/>
      <c r="P4" s="64">
        <v>36.64</v>
      </c>
      <c r="Q4" s="64"/>
      <c r="R4" s="110">
        <f>P4-$R$2</f>
        <v>6.6400000000000006</v>
      </c>
    </row>
    <row r="5" spans="1:18" x14ac:dyDescent="0.2">
      <c r="A5" s="46">
        <v>45017</v>
      </c>
      <c r="B5" s="47">
        <f>Master!$M$7</f>
        <v>480</v>
      </c>
      <c r="C5" s="48"/>
      <c r="D5" s="48">
        <v>0</v>
      </c>
      <c r="E5" s="48">
        <f>Master!$P$7</f>
        <v>0</v>
      </c>
      <c r="F5" s="48"/>
      <c r="G5" s="48"/>
      <c r="H5" s="48"/>
      <c r="I5" s="48"/>
      <c r="J5" s="48">
        <f>IF(C5&gt;$H$1,C5-$H$1,0)</f>
        <v>0</v>
      </c>
      <c r="K5" s="49"/>
      <c r="N5" s="54">
        <v>45809</v>
      </c>
      <c r="O5" s="55"/>
      <c r="P5" s="56">
        <v>43.75</v>
      </c>
      <c r="Q5" s="56"/>
      <c r="R5" s="111">
        <f t="shared" ref="R5:R10" si="0">P5-$R$2</f>
        <v>13.75</v>
      </c>
    </row>
    <row r="6" spans="1:18" x14ac:dyDescent="0.2">
      <c r="A6" s="50">
        <v>45047</v>
      </c>
      <c r="B6" s="51">
        <f>Master!$M$7</f>
        <v>480</v>
      </c>
      <c r="C6" s="52"/>
      <c r="D6" s="52">
        <v>0</v>
      </c>
      <c r="E6" s="52">
        <f>Master!$P$7</f>
        <v>0</v>
      </c>
      <c r="F6" s="52"/>
      <c r="G6" s="52"/>
      <c r="H6" s="52"/>
      <c r="I6" s="52"/>
      <c r="J6" s="52">
        <f>IF(C6&gt;$H$1,C6-$H$1,0)</f>
        <v>0</v>
      </c>
      <c r="K6" s="53"/>
      <c r="N6" s="50">
        <v>45839</v>
      </c>
      <c r="O6" s="51"/>
      <c r="P6" s="52">
        <v>54.38</v>
      </c>
      <c r="Q6" s="52"/>
      <c r="R6" s="112">
        <f t="shared" si="0"/>
        <v>24.380000000000003</v>
      </c>
    </row>
    <row r="7" spans="1:18" x14ac:dyDescent="0.2">
      <c r="A7" s="54">
        <v>45078</v>
      </c>
      <c r="B7" s="55">
        <f>Master!$M$7</f>
        <v>480</v>
      </c>
      <c r="C7" s="56">
        <v>32.74</v>
      </c>
      <c r="D7" s="56">
        <v>0</v>
      </c>
      <c r="E7" s="56">
        <f>Master!$P$7</f>
        <v>0</v>
      </c>
      <c r="F7" s="56"/>
      <c r="G7" s="56"/>
      <c r="H7" s="56"/>
      <c r="I7" s="56"/>
      <c r="J7" s="56">
        <f>IF(C7&gt;$H$1,C7-$H$1,0)</f>
        <v>2.740000000000002</v>
      </c>
      <c r="K7" s="57" t="s">
        <v>91</v>
      </c>
      <c r="N7" s="54">
        <v>45870</v>
      </c>
      <c r="O7" s="55"/>
      <c r="P7" s="56">
        <v>55.63</v>
      </c>
      <c r="Q7" s="56"/>
      <c r="R7" s="111">
        <f t="shared" si="0"/>
        <v>25.630000000000003</v>
      </c>
    </row>
    <row r="8" spans="1:18" x14ac:dyDescent="0.2">
      <c r="A8" s="50">
        <v>45108</v>
      </c>
      <c r="B8" s="51">
        <f>Master!$M$7</f>
        <v>480</v>
      </c>
      <c r="C8" s="52">
        <v>39.42</v>
      </c>
      <c r="D8" s="52">
        <v>0</v>
      </c>
      <c r="E8" s="52">
        <f>Master!$P$7</f>
        <v>0</v>
      </c>
      <c r="F8" s="52"/>
      <c r="G8" s="52"/>
      <c r="H8" s="52"/>
      <c r="I8" s="52"/>
      <c r="J8" s="52">
        <f>IF(C8&gt;$H$1,C8-$H$1,0)</f>
        <v>9.4200000000000017</v>
      </c>
      <c r="K8" s="53" t="s">
        <v>91</v>
      </c>
      <c r="N8" s="50">
        <v>45901</v>
      </c>
      <c r="O8" s="51"/>
      <c r="P8" s="52">
        <v>50.32</v>
      </c>
      <c r="Q8" s="52"/>
      <c r="R8" s="112">
        <f t="shared" si="0"/>
        <v>20.32</v>
      </c>
    </row>
    <row r="9" spans="1:18" x14ac:dyDescent="0.2">
      <c r="A9" s="54">
        <v>45139</v>
      </c>
      <c r="B9" s="55">
        <f>Master!$M$7</f>
        <v>480</v>
      </c>
      <c r="C9" s="56">
        <v>39.729999999999997</v>
      </c>
      <c r="D9" s="56">
        <v>0</v>
      </c>
      <c r="E9" s="56">
        <f>Master!$P$7</f>
        <v>0</v>
      </c>
      <c r="F9" s="56"/>
      <c r="G9" s="56"/>
      <c r="H9" s="56"/>
      <c r="I9" s="56"/>
      <c r="J9" s="56">
        <f>IF(C9&gt;$H$1,C9-$H$1,0)</f>
        <v>9.7299999999999969</v>
      </c>
      <c r="K9" s="57" t="s">
        <v>91</v>
      </c>
      <c r="N9" s="54">
        <v>45931</v>
      </c>
      <c r="O9" s="55"/>
      <c r="P9" s="56">
        <v>46.35</v>
      </c>
      <c r="Q9" s="56"/>
      <c r="R9" s="111">
        <f t="shared" si="0"/>
        <v>16.350000000000001</v>
      </c>
    </row>
    <row r="10" spans="1:18" ht="15.75" thickBot="1" x14ac:dyDescent="0.25">
      <c r="A10" s="50">
        <v>45170</v>
      </c>
      <c r="B10" s="51">
        <f>Master!$M$7</f>
        <v>480</v>
      </c>
      <c r="C10" s="52"/>
      <c r="D10" s="52">
        <v>0</v>
      </c>
      <c r="E10" s="52">
        <f>Master!$P$7</f>
        <v>0</v>
      </c>
      <c r="F10" s="52"/>
      <c r="G10" s="52"/>
      <c r="H10" s="52"/>
      <c r="I10" s="52"/>
      <c r="J10" s="52">
        <f>IF(C10&gt;$H$1,C10-$H$1,0)</f>
        <v>0</v>
      </c>
      <c r="K10" s="53"/>
      <c r="N10" s="113">
        <v>45962</v>
      </c>
      <c r="O10" s="114"/>
      <c r="P10" s="115">
        <v>33.15</v>
      </c>
      <c r="Q10" s="115"/>
      <c r="R10" s="116">
        <f t="shared" si="0"/>
        <v>3.1499999999999986</v>
      </c>
    </row>
    <row r="11" spans="1:18" ht="15.75" thickBot="1" x14ac:dyDescent="0.25">
      <c r="A11" s="54">
        <v>45200</v>
      </c>
      <c r="B11" s="55">
        <f>Master!$M$7</f>
        <v>480</v>
      </c>
      <c r="C11" s="56"/>
      <c r="D11" s="56">
        <v>0</v>
      </c>
      <c r="E11" s="56">
        <f>Master!$P$7</f>
        <v>0</v>
      </c>
      <c r="F11" s="56"/>
      <c r="G11" s="56"/>
      <c r="H11" s="56"/>
      <c r="I11" s="56"/>
      <c r="J11" s="56">
        <f>IF(C11&gt;$H$1,C11-$H$1,0)</f>
        <v>0</v>
      </c>
      <c r="K11" s="57"/>
      <c r="N11" s="129"/>
      <c r="O11" s="130"/>
      <c r="P11" s="131"/>
      <c r="Q11" s="131"/>
      <c r="R11" s="132">
        <f>SUM(R4:R10)</f>
        <v>110.22</v>
      </c>
    </row>
    <row r="12" spans="1:18" x14ac:dyDescent="0.2">
      <c r="A12" s="50">
        <v>45231</v>
      </c>
      <c r="B12" s="51">
        <f>Master!$M$7</f>
        <v>480</v>
      </c>
      <c r="C12" s="52"/>
      <c r="D12" s="52">
        <v>0</v>
      </c>
      <c r="E12" s="52">
        <f>Master!$P$7</f>
        <v>0</v>
      </c>
      <c r="F12" s="52"/>
      <c r="G12" s="52"/>
      <c r="H12" s="52"/>
      <c r="I12" s="52"/>
      <c r="J12" s="52">
        <f>IF(C12&gt;$H$1,C12-$H$1,0)</f>
        <v>0</v>
      </c>
      <c r="K12" s="53"/>
    </row>
    <row r="13" spans="1:18" ht="15.75" thickBot="1" x14ac:dyDescent="0.25">
      <c r="A13" s="54">
        <v>45261</v>
      </c>
      <c r="B13" s="55">
        <f>Master!$M$7</f>
        <v>480</v>
      </c>
      <c r="C13" s="56">
        <v>16.68</v>
      </c>
      <c r="D13" s="56">
        <v>0</v>
      </c>
      <c r="E13" s="56">
        <f>Master!$P$7</f>
        <v>0</v>
      </c>
      <c r="F13" s="56"/>
      <c r="G13" s="56"/>
      <c r="H13" s="56"/>
      <c r="I13" s="56"/>
      <c r="J13" s="56">
        <f>IF(C13&gt;$H$1,C13-$H$1,0)</f>
        <v>0</v>
      </c>
      <c r="K13" s="57"/>
      <c r="L13" s="25">
        <f>SUM(B5:B13)-SUM(C5:C13)-SUM(D5:D13)-SUM(E5:E13)-SUM(F5:F13)-SUM(G5:G13)-SUM(H5:H13)+SUM(J5:J13)</f>
        <v>4213.3200000000006</v>
      </c>
    </row>
    <row r="14" spans="1:18" x14ac:dyDescent="0.2">
      <c r="A14" s="62">
        <v>45292</v>
      </c>
      <c r="B14" s="63">
        <f>Master!$M$7</f>
        <v>480</v>
      </c>
      <c r="C14" s="64">
        <v>14.98</v>
      </c>
      <c r="D14" s="64">
        <v>0</v>
      </c>
      <c r="E14" s="64">
        <f>Master!$P$7</f>
        <v>0</v>
      </c>
      <c r="F14" s="64"/>
      <c r="G14" s="64"/>
      <c r="H14" s="64"/>
      <c r="I14" s="64"/>
      <c r="J14" s="64">
        <f>IF(C14&gt;$H$1,C14-$H$1,0)</f>
        <v>0</v>
      </c>
      <c r="K14" s="65"/>
    </row>
    <row r="15" spans="1:18" x14ac:dyDescent="0.2">
      <c r="A15" s="54">
        <v>45323</v>
      </c>
      <c r="B15" s="55">
        <f>Master!$M$7</f>
        <v>480</v>
      </c>
      <c r="C15" s="56">
        <v>13.12</v>
      </c>
      <c r="D15" s="56">
        <v>0</v>
      </c>
      <c r="E15" s="56">
        <f>Master!$P$7</f>
        <v>0</v>
      </c>
      <c r="F15" s="56"/>
      <c r="G15" s="56"/>
      <c r="H15" s="56">
        <v>463.1</v>
      </c>
      <c r="I15" s="56" t="s">
        <v>121</v>
      </c>
      <c r="J15" s="56">
        <f>IF(C15&gt;$H$1,C15-$H$1,0)</f>
        <v>0</v>
      </c>
      <c r="K15" s="57"/>
    </row>
    <row r="16" spans="1:18" x14ac:dyDescent="0.2">
      <c r="A16" s="50">
        <v>45352</v>
      </c>
      <c r="B16" s="51">
        <f>Master!$M$7</f>
        <v>480</v>
      </c>
      <c r="C16" s="52">
        <v>15.99</v>
      </c>
      <c r="D16" s="52">
        <v>0</v>
      </c>
      <c r="E16" s="52">
        <f>Master!$P$7</f>
        <v>0</v>
      </c>
      <c r="F16" s="52"/>
      <c r="G16" s="52"/>
      <c r="H16" s="52"/>
      <c r="I16" s="52"/>
      <c r="J16" s="52">
        <f>IF(C16&gt;$H$1,C16-$H$1,0)</f>
        <v>0</v>
      </c>
      <c r="K16" s="53"/>
    </row>
    <row r="17" spans="1:12" x14ac:dyDescent="0.2">
      <c r="A17" s="54">
        <v>45383</v>
      </c>
      <c r="B17" s="55">
        <f>Master!$M$7</f>
        <v>480</v>
      </c>
      <c r="C17" s="56">
        <v>18.22</v>
      </c>
      <c r="D17" s="56">
        <v>0</v>
      </c>
      <c r="E17" s="56">
        <f>Master!$P$7</f>
        <v>0</v>
      </c>
      <c r="F17" s="56"/>
      <c r="G17" s="56"/>
      <c r="H17" s="56"/>
      <c r="I17" s="56"/>
      <c r="J17" s="56">
        <f>IF(C17&gt;$H$1,C17-$H$1,0)</f>
        <v>0</v>
      </c>
      <c r="K17" s="57"/>
    </row>
    <row r="18" spans="1:12" x14ac:dyDescent="0.2">
      <c r="A18" s="50">
        <v>45413</v>
      </c>
      <c r="B18" s="51">
        <f>Master!$M$7</f>
        <v>480</v>
      </c>
      <c r="C18" s="52">
        <v>26.61</v>
      </c>
      <c r="D18" s="52">
        <v>0</v>
      </c>
      <c r="E18" s="52">
        <f>Master!$P$7</f>
        <v>0</v>
      </c>
      <c r="F18" s="52"/>
      <c r="G18" s="52"/>
      <c r="H18" s="52"/>
      <c r="I18" s="52"/>
      <c r="J18" s="52">
        <f>IF(C18&gt;$H$1,C18-$H$1,0)</f>
        <v>0</v>
      </c>
      <c r="K18" s="53"/>
    </row>
    <row r="19" spans="1:12" x14ac:dyDescent="0.2">
      <c r="A19" s="54">
        <v>45444</v>
      </c>
      <c r="B19" s="55">
        <f>Master!$M$7</f>
        <v>480</v>
      </c>
      <c r="C19" s="56">
        <v>42.12</v>
      </c>
      <c r="D19" s="56">
        <v>0</v>
      </c>
      <c r="E19" s="56">
        <f>Master!$P$7</f>
        <v>0</v>
      </c>
      <c r="F19" s="56"/>
      <c r="G19" s="56"/>
      <c r="H19" s="56"/>
      <c r="I19" s="56"/>
      <c r="J19" s="56">
        <f>IF(C19&gt;$H$1,C19-$H$1,0)</f>
        <v>12.119999999999997</v>
      </c>
      <c r="K19" s="57" t="s">
        <v>91</v>
      </c>
    </row>
    <row r="20" spans="1:12" x14ac:dyDescent="0.2">
      <c r="A20" s="50">
        <v>45474</v>
      </c>
      <c r="B20" s="51">
        <f>Master!$M$7</f>
        <v>480</v>
      </c>
      <c r="C20" s="52">
        <v>43.89</v>
      </c>
      <c r="D20" s="52">
        <v>0</v>
      </c>
      <c r="E20" s="52">
        <f>Master!$P$7</f>
        <v>0</v>
      </c>
      <c r="F20" s="52"/>
      <c r="G20" s="52"/>
      <c r="H20" s="52"/>
      <c r="I20" s="52"/>
      <c r="J20" s="52">
        <f>IF(C20&gt;$H$1,C20-$H$1,0)</f>
        <v>13.89</v>
      </c>
      <c r="K20" s="53" t="s">
        <v>91</v>
      </c>
    </row>
    <row r="21" spans="1:12" x14ac:dyDescent="0.2">
      <c r="A21" s="54">
        <v>45505</v>
      </c>
      <c r="B21" s="55">
        <f>Master!$M$7</f>
        <v>480</v>
      </c>
      <c r="C21" s="56">
        <v>47.89</v>
      </c>
      <c r="D21" s="56">
        <v>0</v>
      </c>
      <c r="E21" s="56">
        <f>Master!$P$7</f>
        <v>0</v>
      </c>
      <c r="F21" s="56"/>
      <c r="G21" s="56"/>
      <c r="H21" s="56"/>
      <c r="I21" s="56"/>
      <c r="J21" s="56">
        <f>IF(C21&gt;$H$1,C21-$H$1,0)</f>
        <v>17.89</v>
      </c>
      <c r="K21" s="57" t="s">
        <v>91</v>
      </c>
    </row>
    <row r="22" spans="1:12" x14ac:dyDescent="0.2">
      <c r="A22" s="50">
        <v>45536</v>
      </c>
      <c r="B22" s="51">
        <f>Master!$M$7</f>
        <v>480</v>
      </c>
      <c r="C22" s="52">
        <v>51.81</v>
      </c>
      <c r="D22" s="52">
        <v>0</v>
      </c>
      <c r="E22" s="52">
        <f>Master!$P$7</f>
        <v>0</v>
      </c>
      <c r="F22" s="52"/>
      <c r="G22" s="52"/>
      <c r="H22" s="52"/>
      <c r="I22" s="52"/>
      <c r="J22" s="52">
        <f>IF(C22&gt;$H$1,C22-$H$1,0)</f>
        <v>21.810000000000002</v>
      </c>
      <c r="K22" s="53" t="s">
        <v>91</v>
      </c>
    </row>
    <row r="23" spans="1:12" x14ac:dyDescent="0.2">
      <c r="A23" s="54">
        <v>45566</v>
      </c>
      <c r="B23" s="55">
        <f>Master!$M$7</f>
        <v>480</v>
      </c>
      <c r="C23" s="56">
        <v>42.73</v>
      </c>
      <c r="D23" s="56">
        <v>0</v>
      </c>
      <c r="E23" s="56">
        <f>Master!$P$7</f>
        <v>0</v>
      </c>
      <c r="F23" s="56"/>
      <c r="G23" s="56"/>
      <c r="H23" s="56"/>
      <c r="I23" s="56"/>
      <c r="J23" s="56">
        <f>IF(C23&gt;$H$1,C23-$H$1,0)</f>
        <v>12.729999999999997</v>
      </c>
      <c r="K23" s="57" t="s">
        <v>91</v>
      </c>
    </row>
    <row r="24" spans="1:12" x14ac:dyDescent="0.2">
      <c r="A24" s="50">
        <v>45597</v>
      </c>
      <c r="B24" s="51">
        <f>Master!$M$7</f>
        <v>480</v>
      </c>
      <c r="C24" s="52">
        <v>28.17</v>
      </c>
      <c r="D24" s="52">
        <v>0</v>
      </c>
      <c r="E24" s="52">
        <f>Master!$P$7</f>
        <v>0</v>
      </c>
      <c r="F24" s="52"/>
      <c r="G24" s="52"/>
      <c r="H24" s="52"/>
      <c r="I24" s="52"/>
      <c r="J24" s="52">
        <f>IF(C24&gt;$H$1,C24-$H$1,0)</f>
        <v>0</v>
      </c>
      <c r="K24" s="53"/>
    </row>
    <row r="25" spans="1:12" ht="15.75" thickBot="1" x14ac:dyDescent="0.25">
      <c r="A25" s="54">
        <v>45627</v>
      </c>
      <c r="B25" s="55">
        <f>Master!$M$7</f>
        <v>480</v>
      </c>
      <c r="C25" s="56">
        <v>17.899999999999999</v>
      </c>
      <c r="D25" s="56">
        <v>0</v>
      </c>
      <c r="E25" s="56">
        <f>Master!$P$7</f>
        <v>0</v>
      </c>
      <c r="F25" s="56"/>
      <c r="G25" s="56"/>
      <c r="H25" s="56"/>
      <c r="I25" s="56"/>
      <c r="J25" s="56">
        <f>IF(C25&gt;$H$1,C25-$H$1,0)</f>
        <v>0</v>
      </c>
      <c r="K25" s="57"/>
      <c r="L25" s="25">
        <f>SUM(B14:B25)-SUM(C14:C25)-SUM(D14:D25)-SUM(E14:E25)-SUM(F14:F25)-SUM(G14:G25)-SUM(H14:H25)+SUM(J14:J25)</f>
        <v>5011.9099999999989</v>
      </c>
    </row>
    <row r="26" spans="1:12" x14ac:dyDescent="0.2">
      <c r="A26" s="62">
        <v>45658</v>
      </c>
      <c r="B26" s="66">
        <f>Master!$M$7</f>
        <v>480</v>
      </c>
      <c r="C26" s="67">
        <v>16.57</v>
      </c>
      <c r="D26" s="67">
        <v>0</v>
      </c>
      <c r="E26" s="67">
        <f>Master!$P$7</f>
        <v>0</v>
      </c>
      <c r="F26" s="67"/>
      <c r="G26" s="67"/>
      <c r="H26" s="67"/>
      <c r="I26" s="67"/>
      <c r="J26" s="67">
        <f>IF(C26&gt;$H$1,C26-$H$1,0)</f>
        <v>0</v>
      </c>
      <c r="K26" s="68"/>
    </row>
    <row r="27" spans="1:12" x14ac:dyDescent="0.2">
      <c r="A27" s="54">
        <v>45689</v>
      </c>
      <c r="B27" s="55">
        <v>480</v>
      </c>
      <c r="C27" s="56">
        <v>15.75</v>
      </c>
      <c r="D27" s="56">
        <v>0</v>
      </c>
      <c r="E27" s="56">
        <f>Master!$P$7</f>
        <v>0</v>
      </c>
      <c r="F27" s="56"/>
      <c r="G27" s="56"/>
      <c r="H27" s="56">
        <v>463.1</v>
      </c>
      <c r="I27" s="56" t="s">
        <v>121</v>
      </c>
      <c r="J27" s="56">
        <f>IF(C27&gt;$H$1,C27-$H$1,0)</f>
        <v>0</v>
      </c>
      <c r="K27" s="57"/>
    </row>
    <row r="28" spans="1:12" x14ac:dyDescent="0.2">
      <c r="A28" s="50">
        <v>45717</v>
      </c>
      <c r="B28" s="51">
        <v>480</v>
      </c>
      <c r="C28" s="52">
        <v>17.11</v>
      </c>
      <c r="D28" s="52">
        <v>0</v>
      </c>
      <c r="E28" s="52">
        <f>Master!$P$7</f>
        <v>0</v>
      </c>
      <c r="F28" s="52"/>
      <c r="G28" s="52"/>
      <c r="H28" s="52"/>
      <c r="I28" s="52"/>
      <c r="J28" s="52">
        <f>IF(C28&gt;$H$1,C28-$H$1,0)</f>
        <v>0</v>
      </c>
      <c r="K28" s="53"/>
    </row>
    <row r="29" spans="1:12" x14ac:dyDescent="0.2">
      <c r="A29" s="54">
        <v>45748</v>
      </c>
      <c r="B29" s="55">
        <v>480</v>
      </c>
      <c r="C29" s="56">
        <v>25.71</v>
      </c>
      <c r="D29" s="56">
        <v>0</v>
      </c>
      <c r="E29" s="56">
        <f>Master!$P$7</f>
        <v>0</v>
      </c>
      <c r="F29" s="56"/>
      <c r="G29" s="56"/>
      <c r="H29" s="56"/>
      <c r="I29" s="56"/>
      <c r="J29" s="56">
        <f>IF(C29&gt;$H$1,C29-$H$1,0)</f>
        <v>0</v>
      </c>
      <c r="K29" s="57"/>
    </row>
    <row r="30" spans="1:12" x14ac:dyDescent="0.2">
      <c r="A30" s="50">
        <v>45778</v>
      </c>
      <c r="B30" s="51">
        <v>480</v>
      </c>
      <c r="C30" s="52">
        <v>36.64</v>
      </c>
      <c r="D30" s="52">
        <v>0</v>
      </c>
      <c r="E30" s="52">
        <f>Master!$P$7</f>
        <v>0</v>
      </c>
      <c r="F30" s="52"/>
      <c r="G30" s="52"/>
      <c r="H30" s="52"/>
      <c r="I30" s="52"/>
      <c r="J30" s="52">
        <f>IF(C30&gt;$H$1,C30-$H$1,0)</f>
        <v>6.6400000000000006</v>
      </c>
      <c r="K30" s="53"/>
    </row>
    <row r="31" spans="1:12" x14ac:dyDescent="0.2">
      <c r="A31" s="54">
        <v>45809</v>
      </c>
      <c r="B31" s="55">
        <v>480</v>
      </c>
      <c r="C31" s="56">
        <v>43.75</v>
      </c>
      <c r="D31" s="56">
        <v>0</v>
      </c>
      <c r="E31" s="56">
        <f>Master!$P$7</f>
        <v>0</v>
      </c>
      <c r="F31" s="56"/>
      <c r="G31" s="56"/>
      <c r="H31" s="56"/>
      <c r="I31" s="56"/>
      <c r="J31" s="56">
        <f>IF(C31&gt;$H$1,C31-$H$1,0)</f>
        <v>13.75</v>
      </c>
      <c r="K31" s="57"/>
    </row>
    <row r="32" spans="1:12" x14ac:dyDescent="0.2">
      <c r="A32" s="50">
        <v>45839</v>
      </c>
      <c r="B32" s="51">
        <v>480</v>
      </c>
      <c r="C32" s="52">
        <v>54.38</v>
      </c>
      <c r="D32" s="52">
        <v>0</v>
      </c>
      <c r="E32" s="52">
        <f>Master!$P$7</f>
        <v>0</v>
      </c>
      <c r="F32" s="52"/>
      <c r="G32" s="52"/>
      <c r="H32" s="52"/>
      <c r="I32" s="52"/>
      <c r="J32" s="52">
        <f>IF(C32&gt;$H$1,C32-$H$1,0)</f>
        <v>24.380000000000003</v>
      </c>
      <c r="K32" s="53"/>
    </row>
    <row r="33" spans="1:12" x14ac:dyDescent="0.2">
      <c r="A33" s="54">
        <v>45870</v>
      </c>
      <c r="B33" s="55">
        <v>480</v>
      </c>
      <c r="C33" s="56">
        <v>55.63</v>
      </c>
      <c r="D33" s="56">
        <v>0</v>
      </c>
      <c r="E33" s="56">
        <f>Master!$P$7</f>
        <v>0</v>
      </c>
      <c r="F33" s="56"/>
      <c r="G33" s="56"/>
      <c r="H33" s="56"/>
      <c r="I33" s="56"/>
      <c r="J33" s="56">
        <f>IF(C33&gt;$H$1,C33-$H$1,0)</f>
        <v>25.630000000000003</v>
      </c>
      <c r="K33" s="57"/>
    </row>
    <row r="34" spans="1:12" x14ac:dyDescent="0.2">
      <c r="A34" s="50">
        <v>45901</v>
      </c>
      <c r="B34" s="51">
        <v>480</v>
      </c>
      <c r="C34" s="52">
        <v>50.32</v>
      </c>
      <c r="D34" s="52">
        <v>0</v>
      </c>
      <c r="E34" s="52">
        <f>Master!$P$7</f>
        <v>0</v>
      </c>
      <c r="F34" s="52"/>
      <c r="G34" s="52"/>
      <c r="H34" s="52"/>
      <c r="I34" s="52"/>
      <c r="J34" s="52">
        <f>IF(C34&gt;$H$1,C34-$H$1,0)</f>
        <v>20.32</v>
      </c>
      <c r="K34" s="53"/>
    </row>
    <row r="35" spans="1:12" x14ac:dyDescent="0.2">
      <c r="A35" s="54">
        <v>45931</v>
      </c>
      <c r="B35" s="55">
        <v>480</v>
      </c>
      <c r="C35" s="56">
        <v>46.35</v>
      </c>
      <c r="D35" s="56">
        <v>0</v>
      </c>
      <c r="E35" s="56">
        <f>Master!$P$7</f>
        <v>0</v>
      </c>
      <c r="F35" s="56"/>
      <c r="G35" s="56"/>
      <c r="H35" s="56"/>
      <c r="I35" s="56"/>
      <c r="J35" s="56">
        <f>IF(C35&gt;$H$1,C35-$H$1,0)</f>
        <v>16.350000000000001</v>
      </c>
      <c r="K35" s="57"/>
    </row>
    <row r="36" spans="1:12" x14ac:dyDescent="0.2">
      <c r="A36" s="50">
        <v>45962</v>
      </c>
      <c r="B36" s="51">
        <v>480</v>
      </c>
      <c r="C36" s="52">
        <v>33.15</v>
      </c>
      <c r="D36" s="52">
        <v>0</v>
      </c>
      <c r="E36" s="52">
        <f>Master!$P$7</f>
        <v>0</v>
      </c>
      <c r="F36" s="52"/>
      <c r="G36" s="52"/>
      <c r="H36" s="52"/>
      <c r="I36" s="52"/>
      <c r="J36" s="52">
        <f>IF(C36&gt;$H$1,C36-$H$1,0)</f>
        <v>3.1499999999999986</v>
      </c>
      <c r="K36" s="53"/>
    </row>
    <row r="37" spans="1:12" ht="15.75" thickBot="1" x14ac:dyDescent="0.25">
      <c r="A37" s="58">
        <v>45992</v>
      </c>
      <c r="B37" s="59">
        <v>480</v>
      </c>
      <c r="C37" s="60">
        <v>25.88</v>
      </c>
      <c r="D37" s="60">
        <v>0</v>
      </c>
      <c r="E37" s="60">
        <f>Master!$P$7</f>
        <v>0</v>
      </c>
      <c r="F37" s="60"/>
      <c r="G37" s="60"/>
      <c r="H37" s="60"/>
      <c r="I37" s="60"/>
      <c r="J37" s="60">
        <f>IF(C37&gt;$H$1,C37-$H$1,0)</f>
        <v>0</v>
      </c>
      <c r="K37" s="61"/>
      <c r="L37" s="25">
        <f>SUM(B26:B37)-SUM(C26:C37)-SUM(D26:D37)-SUM(E26:E37)-SUM(F26:F37)-SUM(G26:G37)-SUM(H26:H37)+SUM(J26:J37)</f>
        <v>4985.88</v>
      </c>
    </row>
    <row r="38" spans="1:12" x14ac:dyDescent="0.2">
      <c r="A38" s="62">
        <v>46023</v>
      </c>
      <c r="B38" s="66">
        <v>480</v>
      </c>
      <c r="C38" s="67"/>
      <c r="D38" s="67"/>
      <c r="E38" s="67"/>
      <c r="F38" s="67"/>
      <c r="G38" s="67"/>
      <c r="H38" s="67"/>
      <c r="I38" s="67"/>
      <c r="J38" s="67">
        <f>IF(C38&gt;$H$1,C38-$H$1,0)</f>
        <v>0</v>
      </c>
      <c r="K38" s="68"/>
    </row>
    <row r="39" spans="1:12" x14ac:dyDescent="0.2">
      <c r="A39" s="54">
        <v>46054</v>
      </c>
      <c r="B39" s="55"/>
      <c r="C39" s="56"/>
      <c r="D39" s="56"/>
      <c r="E39" s="56"/>
      <c r="F39" s="56"/>
      <c r="G39" s="56"/>
      <c r="H39" s="56"/>
      <c r="I39" s="56"/>
      <c r="J39" s="56">
        <f>IF(C39&gt;$H$1,C39-$H$1,0)</f>
        <v>0</v>
      </c>
      <c r="K39" s="57"/>
    </row>
    <row r="40" spans="1:12" x14ac:dyDescent="0.2">
      <c r="A40" s="50">
        <v>46082</v>
      </c>
      <c r="B40" s="51"/>
      <c r="C40" s="52"/>
      <c r="D40" s="52"/>
      <c r="E40" s="52"/>
      <c r="F40" s="52"/>
      <c r="G40" s="52"/>
      <c r="H40" s="52"/>
      <c r="I40" s="52"/>
      <c r="J40" s="52">
        <f>IF(C40&gt;$H$1,C40-$H$1,0)</f>
        <v>0</v>
      </c>
      <c r="K40" s="53"/>
    </row>
    <row r="41" spans="1:12" x14ac:dyDescent="0.2">
      <c r="A41" s="54">
        <v>46113</v>
      </c>
      <c r="B41" s="55"/>
      <c r="C41" s="56"/>
      <c r="D41" s="56"/>
      <c r="E41" s="56"/>
      <c r="F41" s="56"/>
      <c r="G41" s="56"/>
      <c r="H41" s="56"/>
      <c r="I41" s="56"/>
      <c r="J41" s="56">
        <f>IF(C41&gt;$H$1,C41-$H$1,0)</f>
        <v>0</v>
      </c>
      <c r="K41" s="57"/>
    </row>
    <row r="42" spans="1:12" x14ac:dyDescent="0.2">
      <c r="A42" s="50">
        <v>46143</v>
      </c>
      <c r="B42" s="51"/>
      <c r="C42" s="52"/>
      <c r="D42" s="52"/>
      <c r="E42" s="52"/>
      <c r="F42" s="52"/>
      <c r="G42" s="52"/>
      <c r="H42" s="52"/>
      <c r="I42" s="52"/>
      <c r="J42" s="52">
        <f>IF(C42&gt;$H$1,C42-$H$1,0)</f>
        <v>0</v>
      </c>
      <c r="K42" s="53"/>
    </row>
    <row r="43" spans="1:12" x14ac:dyDescent="0.2">
      <c r="A43" s="54">
        <v>46174</v>
      </c>
      <c r="B43" s="55"/>
      <c r="C43" s="56"/>
      <c r="D43" s="56"/>
      <c r="E43" s="56"/>
      <c r="F43" s="56"/>
      <c r="G43" s="56"/>
      <c r="H43" s="56"/>
      <c r="I43" s="56"/>
      <c r="J43" s="56">
        <f>IF(C43&gt;$H$1,C43-$H$1,0)</f>
        <v>0</v>
      </c>
      <c r="K43" s="57"/>
    </row>
    <row r="44" spans="1:12" x14ac:dyDescent="0.2">
      <c r="A44" s="50">
        <v>46204</v>
      </c>
      <c r="B44" s="51"/>
      <c r="C44" s="52"/>
      <c r="D44" s="52"/>
      <c r="E44" s="52"/>
      <c r="F44" s="52"/>
      <c r="G44" s="52"/>
      <c r="H44" s="52"/>
      <c r="I44" s="52"/>
      <c r="J44" s="52">
        <f>IF(C44&gt;$H$1,C44-$H$1,0)</f>
        <v>0</v>
      </c>
      <c r="K44" s="53"/>
    </row>
    <row r="45" spans="1:12" x14ac:dyDescent="0.2">
      <c r="A45" s="54">
        <v>46235</v>
      </c>
      <c r="B45" s="55"/>
      <c r="C45" s="56"/>
      <c r="D45" s="56"/>
      <c r="E45" s="56"/>
      <c r="F45" s="56"/>
      <c r="G45" s="56"/>
      <c r="H45" s="56"/>
      <c r="I45" s="56"/>
      <c r="J45" s="56">
        <f>IF(C45&gt;$H$1,C45-$H$1,0)</f>
        <v>0</v>
      </c>
      <c r="K45" s="57"/>
    </row>
    <row r="46" spans="1:12" x14ac:dyDescent="0.2">
      <c r="A46" s="50">
        <v>46266</v>
      </c>
      <c r="B46" s="51"/>
      <c r="C46" s="52"/>
      <c r="D46" s="52"/>
      <c r="E46" s="52"/>
      <c r="F46" s="52"/>
      <c r="G46" s="52"/>
      <c r="H46" s="52"/>
      <c r="I46" s="52"/>
      <c r="J46" s="52">
        <f>IF(C46&gt;$H$1,C46-$H$1,0)</f>
        <v>0</v>
      </c>
      <c r="K46" s="53"/>
    </row>
    <row r="47" spans="1:12" x14ac:dyDescent="0.2">
      <c r="A47" s="54">
        <v>46296</v>
      </c>
      <c r="B47" s="55"/>
      <c r="C47" s="56"/>
      <c r="D47" s="56"/>
      <c r="E47" s="56"/>
      <c r="F47" s="56"/>
      <c r="G47" s="56"/>
      <c r="H47" s="56"/>
      <c r="I47" s="56"/>
      <c r="J47" s="56">
        <f>IF(C47&gt;$H$1,C47-$H$1,0)</f>
        <v>0</v>
      </c>
      <c r="K47" s="57"/>
    </row>
    <row r="48" spans="1:12" x14ac:dyDescent="0.2">
      <c r="A48" s="50">
        <v>46327</v>
      </c>
      <c r="B48" s="51"/>
      <c r="C48" s="52"/>
      <c r="D48" s="52"/>
      <c r="E48" s="52"/>
      <c r="F48" s="52"/>
      <c r="G48" s="52"/>
      <c r="H48" s="52"/>
      <c r="I48" s="52"/>
      <c r="J48" s="52">
        <f>IF(C48&gt;$H$1,C48-$H$1,0)</f>
        <v>0</v>
      </c>
      <c r="K48" s="53"/>
    </row>
    <row r="49" spans="1:12" ht="15.75" thickBot="1" x14ac:dyDescent="0.25">
      <c r="A49" s="58">
        <v>46357</v>
      </c>
      <c r="B49" s="59"/>
      <c r="C49" s="60"/>
      <c r="D49" s="60"/>
      <c r="E49" s="60"/>
      <c r="F49" s="60"/>
      <c r="G49" s="60"/>
      <c r="H49" s="60"/>
      <c r="I49" s="60"/>
      <c r="J49" s="60">
        <f>IF(C49&gt;$H$1,C49-$H$1,0)</f>
        <v>0</v>
      </c>
      <c r="K49" s="61"/>
      <c r="L49" s="25">
        <f>SUM(B38:B49)-SUM(C38:C49)-SUM(D38:D49)-SUM(E38:E49)-SUM(F38:F49)-SUM(G38:G49)-SUM(H38:H49)+SUM(J38:J49)</f>
        <v>480</v>
      </c>
    </row>
    <row r="50" spans="1:12" x14ac:dyDescent="0.2">
      <c r="A50" s="29"/>
      <c r="B50" s="30">
        <f>SUM(B38:B49)</f>
        <v>480</v>
      </c>
      <c r="C50" s="30">
        <f t="shared" ref="C50:J50" si="1">SUM(C38:C49)</f>
        <v>0</v>
      </c>
      <c r="D50" s="30">
        <f t="shared" si="1"/>
        <v>0</v>
      </c>
      <c r="E50" s="30">
        <f t="shared" si="1"/>
        <v>0</v>
      </c>
      <c r="F50" s="30">
        <f t="shared" si="1"/>
        <v>0</v>
      </c>
      <c r="G50" s="30">
        <f t="shared" si="1"/>
        <v>0</v>
      </c>
      <c r="H50" s="30">
        <f t="shared" si="1"/>
        <v>0</v>
      </c>
      <c r="I50" s="30"/>
      <c r="J50" s="30">
        <f t="shared" si="1"/>
        <v>0</v>
      </c>
      <c r="K50" s="31"/>
    </row>
    <row r="51" spans="1:12" x14ac:dyDescent="0.2">
      <c r="A51" s="29" t="s">
        <v>5</v>
      </c>
      <c r="B51" s="30">
        <f>B50-C50-D50-E50-F50-G50-H50+J50</f>
        <v>480</v>
      </c>
      <c r="C51" s="30"/>
      <c r="D51" s="30"/>
      <c r="E51" s="30"/>
      <c r="F51" s="30"/>
      <c r="G51" s="30"/>
      <c r="H51" s="30"/>
      <c r="I51" s="30"/>
      <c r="J51" s="30"/>
      <c r="K51" s="30"/>
    </row>
    <row r="52" spans="1:12" x14ac:dyDescent="0.2">
      <c r="A52" s="29" t="s">
        <v>15</v>
      </c>
      <c r="B52" s="32">
        <f>B51/Master!X12</f>
        <v>7.3846153846153844E-3</v>
      </c>
      <c r="C52" s="29"/>
      <c r="D52" s="29"/>
      <c r="E52" s="29"/>
      <c r="F52" s="29"/>
      <c r="G52" s="29"/>
      <c r="H52" s="29"/>
      <c r="I52" s="29"/>
      <c r="J52" s="29"/>
      <c r="K52" s="29"/>
    </row>
    <row r="53" spans="1:12" x14ac:dyDescent="0.2">
      <c r="A53" s="24" t="s">
        <v>94</v>
      </c>
      <c r="B53" s="25">
        <f>B13+B51</f>
        <v>960</v>
      </c>
      <c r="C53" s="26" t="s">
        <v>101</v>
      </c>
      <c r="D53" s="27">
        <v>45657</v>
      </c>
      <c r="E53" s="24"/>
      <c r="F53" s="24"/>
      <c r="G53" s="24"/>
      <c r="H53" s="24"/>
      <c r="I53" s="24"/>
      <c r="J53" s="24"/>
      <c r="K53" s="24"/>
    </row>
  </sheetData>
  <pageMargins left="0.7" right="0.7" top="0.75" bottom="0.75" header="0.3" footer="0.3"/>
  <pageSetup orientation="portrait" horizontalDpi="1200" verticalDpi="1200" r:id="rId1"/>
  <headerFooter>
    <oddFooter>&amp;L&amp;1#&amp;"Arial"&amp;10&amp;K000000Non-Business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6EC0-2CF4-467C-B02C-A1636C9F5E30}">
  <sheetPr>
    <tabColor theme="4"/>
  </sheetPr>
  <dimension ref="A1:L44"/>
  <sheetViews>
    <sheetView workbookViewId="0">
      <pane ySplit="3" topLeftCell="A12" activePane="bottomLeft" state="frozen"/>
      <selection activeCell="B25" sqref="B25"/>
      <selection pane="bottomLeft" activeCell="B42" sqref="B42"/>
    </sheetView>
  </sheetViews>
  <sheetFormatPr defaultColWidth="8.609375" defaultRowHeight="15" x14ac:dyDescent="0.2"/>
  <cols>
    <col min="1" max="1" width="9.953125" customWidth="1"/>
    <col min="2" max="2" width="13.98828125" bestFit="1" customWidth="1"/>
    <col min="3" max="3" width="13.1796875" bestFit="1" customWidth="1"/>
    <col min="4" max="4" width="10.35546875" bestFit="1" customWidth="1"/>
    <col min="5" max="5" width="11.296875" bestFit="1" customWidth="1"/>
    <col min="6" max="7" width="11.296875" customWidth="1"/>
    <col min="8" max="8" width="13.1796875" bestFit="1" customWidth="1"/>
    <col min="9" max="9" width="18.83203125" bestFit="1" customWidth="1"/>
    <col min="10" max="10" width="12.23828125" bestFit="1" customWidth="1"/>
    <col min="11" max="11" width="10.625" bestFit="1" customWidth="1"/>
    <col min="12" max="12" width="13.71875" bestFit="1" customWidth="1"/>
  </cols>
  <sheetData>
    <row r="1" spans="1:12" x14ac:dyDescent="0.2">
      <c r="A1" s="79" t="s">
        <v>0</v>
      </c>
      <c r="B1" s="80" t="str">
        <f>Master!B8</f>
        <v>2706B</v>
      </c>
      <c r="C1" s="81" t="s">
        <v>38</v>
      </c>
      <c r="D1" s="80" t="str">
        <f>Master!J8</f>
        <v>P2-30</v>
      </c>
      <c r="E1" s="81" t="s">
        <v>2</v>
      </c>
      <c r="F1" s="80">
        <f>Master!N8</f>
        <v>1100290012</v>
      </c>
      <c r="G1" s="81" t="s">
        <v>27</v>
      </c>
      <c r="H1" s="82">
        <f>Master!O8</f>
        <v>20</v>
      </c>
      <c r="I1" s="83"/>
      <c r="J1" s="83"/>
      <c r="K1" s="65"/>
    </row>
    <row r="2" spans="1:12" ht="15.75" thickBot="1" x14ac:dyDescent="0.25">
      <c r="A2" s="84" t="s">
        <v>28</v>
      </c>
      <c r="B2" s="85" t="str">
        <f>Master!C8</f>
        <v>Mike</v>
      </c>
      <c r="C2" s="86" t="s">
        <v>34</v>
      </c>
      <c r="D2" s="85" t="str">
        <f>Master!I8</f>
        <v>3944 4700</v>
      </c>
      <c r="E2" s="86" t="s">
        <v>29</v>
      </c>
      <c r="F2" s="87">
        <f>Master!K8</f>
        <v>45862</v>
      </c>
      <c r="G2" s="86" t="s">
        <v>30</v>
      </c>
      <c r="H2" s="87">
        <f>Master!L8</f>
        <v>46226</v>
      </c>
      <c r="I2" s="88"/>
      <c r="J2" s="88"/>
      <c r="K2" s="89"/>
    </row>
    <row r="3" spans="1:12" x14ac:dyDescent="0.2">
      <c r="A3" s="28" t="s">
        <v>31</v>
      </c>
      <c r="B3" s="28" t="s">
        <v>32</v>
      </c>
      <c r="C3" s="28" t="s">
        <v>2</v>
      </c>
      <c r="D3" s="28" t="s">
        <v>33</v>
      </c>
      <c r="E3" s="28" t="s">
        <v>3</v>
      </c>
      <c r="F3" s="28" t="s">
        <v>93</v>
      </c>
      <c r="G3" s="28" t="s">
        <v>98</v>
      </c>
      <c r="H3" s="28" t="s">
        <v>96</v>
      </c>
      <c r="I3" s="28" t="s">
        <v>97</v>
      </c>
      <c r="J3" s="28" t="s">
        <v>95</v>
      </c>
      <c r="K3" s="28" t="s">
        <v>103</v>
      </c>
    </row>
    <row r="4" spans="1:12" x14ac:dyDescent="0.2">
      <c r="A4" s="24" t="s">
        <v>94</v>
      </c>
      <c r="B4" s="25">
        <v>0</v>
      </c>
      <c r="C4" s="26" t="s">
        <v>101</v>
      </c>
      <c r="D4" s="27">
        <v>45291</v>
      </c>
      <c r="E4" s="24"/>
      <c r="F4" s="24"/>
      <c r="G4" s="24"/>
      <c r="H4" s="24"/>
      <c r="I4" s="24"/>
      <c r="J4" s="24"/>
      <c r="K4" s="24"/>
    </row>
    <row r="5" spans="1:12" x14ac:dyDescent="0.2">
      <c r="A5" s="62">
        <v>45292</v>
      </c>
      <c r="B5" s="66">
        <v>480</v>
      </c>
      <c r="C5" s="67">
        <v>14.67</v>
      </c>
      <c r="D5" s="67">
        <v>0</v>
      </c>
      <c r="E5" s="67">
        <v>6</v>
      </c>
      <c r="F5" s="67"/>
      <c r="G5" s="67"/>
      <c r="H5" s="67"/>
      <c r="I5" s="67"/>
      <c r="J5" s="67">
        <f>IF(C5&gt;$H$1,C5-$H$1,0)</f>
        <v>0</v>
      </c>
      <c r="K5" s="68"/>
    </row>
    <row r="6" spans="1:12" x14ac:dyDescent="0.2">
      <c r="A6" s="54">
        <v>45323</v>
      </c>
      <c r="B6" s="55">
        <v>480</v>
      </c>
      <c r="C6" s="56">
        <v>21.27</v>
      </c>
      <c r="D6" s="56">
        <v>0</v>
      </c>
      <c r="E6" s="56">
        <v>6</v>
      </c>
      <c r="F6" s="56"/>
      <c r="G6" s="56"/>
      <c r="H6" s="56"/>
      <c r="I6" s="56"/>
      <c r="J6" s="56">
        <f>IF(C6&gt;$H$1,C6-$H$1,0)</f>
        <v>1.2699999999999996</v>
      </c>
      <c r="K6" s="57"/>
    </row>
    <row r="7" spans="1:12" x14ac:dyDescent="0.2">
      <c r="A7" s="50">
        <v>45352</v>
      </c>
      <c r="B7" s="51">
        <v>480</v>
      </c>
      <c r="C7" s="52">
        <v>16.59</v>
      </c>
      <c r="D7" s="52">
        <v>0</v>
      </c>
      <c r="E7" s="52">
        <v>6</v>
      </c>
      <c r="F7" s="52"/>
      <c r="G7" s="52"/>
      <c r="H7" s="52">
        <v>480</v>
      </c>
      <c r="I7" s="52" t="s">
        <v>129</v>
      </c>
      <c r="J7" s="52">
        <f>IF(C7&gt;$H$1,C7-$H$1,0)</f>
        <v>0</v>
      </c>
      <c r="K7" s="53"/>
    </row>
    <row r="8" spans="1:12" x14ac:dyDescent="0.2">
      <c r="A8" s="54">
        <v>45383</v>
      </c>
      <c r="B8" s="55">
        <f>Master!$M$8</f>
        <v>560</v>
      </c>
      <c r="C8" s="56">
        <v>10.38</v>
      </c>
      <c r="D8" s="56">
        <v>0</v>
      </c>
      <c r="E8" s="56">
        <v>6</v>
      </c>
      <c r="F8" s="56"/>
      <c r="G8" s="56"/>
      <c r="H8" s="56"/>
      <c r="I8" s="56"/>
      <c r="J8" s="56">
        <f>IF(C8&gt;$H$1,C8-$H$1,0)</f>
        <v>0</v>
      </c>
      <c r="K8" s="57"/>
    </row>
    <row r="9" spans="1:12" x14ac:dyDescent="0.2">
      <c r="A9" s="50">
        <v>45413</v>
      </c>
      <c r="B9" s="51">
        <f>Master!$M$8</f>
        <v>560</v>
      </c>
      <c r="C9" s="52">
        <v>16.05</v>
      </c>
      <c r="D9" s="52">
        <v>0</v>
      </c>
      <c r="E9" s="52">
        <v>6</v>
      </c>
      <c r="F9" s="52"/>
      <c r="G9" s="52"/>
      <c r="H9" s="52"/>
      <c r="I9" s="52"/>
      <c r="J9" s="52">
        <f>IF(C9&gt;$H$1,C9-$H$1,0)</f>
        <v>0</v>
      </c>
      <c r="K9" s="53"/>
    </row>
    <row r="10" spans="1:12" x14ac:dyDescent="0.2">
      <c r="A10" s="54">
        <v>45444</v>
      </c>
      <c r="B10" s="55">
        <f>Master!$M$8</f>
        <v>560</v>
      </c>
      <c r="C10" s="56">
        <v>24.32</v>
      </c>
      <c r="D10" s="56">
        <v>0</v>
      </c>
      <c r="E10" s="56">
        <v>6</v>
      </c>
      <c r="F10" s="56"/>
      <c r="G10" s="56"/>
      <c r="H10" s="56"/>
      <c r="I10" s="56"/>
      <c r="J10" s="56">
        <f>IF(C10&gt;$H$1,C10-$H$1,0)</f>
        <v>4.32</v>
      </c>
      <c r="K10" s="57"/>
    </row>
    <row r="11" spans="1:12" x14ac:dyDescent="0.2">
      <c r="A11" s="50">
        <v>45474</v>
      </c>
      <c r="B11" s="51">
        <f>Master!$M$8</f>
        <v>560</v>
      </c>
      <c r="C11" s="52">
        <v>40.119999999999997</v>
      </c>
      <c r="D11" s="52">
        <v>0</v>
      </c>
      <c r="E11" s="52">
        <v>6</v>
      </c>
      <c r="F11" s="52"/>
      <c r="G11" s="52"/>
      <c r="H11" s="52"/>
      <c r="I11" s="52"/>
      <c r="J11" s="52">
        <f>IF(C11&gt;$H$1,C11-$H$1,0)</f>
        <v>20.119999999999997</v>
      </c>
      <c r="K11" s="53" t="s">
        <v>91</v>
      </c>
    </row>
    <row r="12" spans="1:12" x14ac:dyDescent="0.2">
      <c r="A12" s="54">
        <v>45505</v>
      </c>
      <c r="B12" s="55">
        <f>Master!$M$8</f>
        <v>560</v>
      </c>
      <c r="C12" s="56">
        <v>40.520000000000003</v>
      </c>
      <c r="D12" s="56">
        <v>0</v>
      </c>
      <c r="E12" s="56">
        <v>6</v>
      </c>
      <c r="F12" s="56"/>
      <c r="G12" s="56"/>
      <c r="H12" s="56"/>
      <c r="I12" s="56"/>
      <c r="J12" s="56">
        <f>IF(C12&gt;$H$1,C12-$H$1,0)</f>
        <v>20.520000000000003</v>
      </c>
      <c r="K12" s="57" t="s">
        <v>91</v>
      </c>
    </row>
    <row r="13" spans="1:12" x14ac:dyDescent="0.2">
      <c r="A13" s="50">
        <v>45536</v>
      </c>
      <c r="B13" s="51">
        <f>Master!$M$8</f>
        <v>560</v>
      </c>
      <c r="C13" s="52">
        <v>34.5</v>
      </c>
      <c r="D13" s="52">
        <v>0</v>
      </c>
      <c r="E13" s="52">
        <v>6</v>
      </c>
      <c r="F13" s="52"/>
      <c r="G13" s="52"/>
      <c r="H13" s="52"/>
      <c r="I13" s="52"/>
      <c r="J13" s="52">
        <f>IF(C13&gt;$H$1,C13-$H$1,0)</f>
        <v>14.5</v>
      </c>
      <c r="K13" s="53" t="s">
        <v>91</v>
      </c>
    </row>
    <row r="14" spans="1:12" x14ac:dyDescent="0.2">
      <c r="A14" s="54">
        <v>45566</v>
      </c>
      <c r="B14" s="55">
        <f>Master!$M$8</f>
        <v>560</v>
      </c>
      <c r="C14" s="56">
        <v>27.74</v>
      </c>
      <c r="D14" s="56">
        <v>0</v>
      </c>
      <c r="E14" s="56">
        <v>6</v>
      </c>
      <c r="F14" s="56"/>
      <c r="G14" s="56"/>
      <c r="H14" s="56"/>
      <c r="I14" s="56"/>
      <c r="J14" s="56">
        <f>IF(C14&gt;$H$1,C14-$H$1,0)</f>
        <v>7.7399999999999984</v>
      </c>
      <c r="K14" s="57"/>
    </row>
    <row r="15" spans="1:12" x14ac:dyDescent="0.2">
      <c r="A15" s="50">
        <v>45597</v>
      </c>
      <c r="B15" s="51">
        <f>Master!$M$8</f>
        <v>560</v>
      </c>
      <c r="C15" s="52">
        <v>21.82</v>
      </c>
      <c r="D15" s="52">
        <v>0</v>
      </c>
      <c r="E15" s="52">
        <v>6</v>
      </c>
      <c r="F15" s="52"/>
      <c r="G15" s="52"/>
      <c r="H15" s="52"/>
      <c r="I15" s="52"/>
      <c r="J15" s="52">
        <f>IF(C15&gt;$H$1,C15-$H$1,0)</f>
        <v>1.8200000000000003</v>
      </c>
      <c r="K15" s="53"/>
    </row>
    <row r="16" spans="1:12" ht="15.75" thickBot="1" x14ac:dyDescent="0.25">
      <c r="A16" s="58">
        <v>45627</v>
      </c>
      <c r="B16" s="59">
        <f>Master!$M$8</f>
        <v>560</v>
      </c>
      <c r="C16" s="60">
        <v>14.02</v>
      </c>
      <c r="D16" s="60">
        <v>0</v>
      </c>
      <c r="E16" s="60">
        <v>6</v>
      </c>
      <c r="F16" s="60"/>
      <c r="G16" s="60"/>
      <c r="H16" s="60"/>
      <c r="I16" s="60"/>
      <c r="J16" s="60">
        <f>IF(C16&gt;$H$1,C16-$H$1,0)</f>
        <v>0</v>
      </c>
      <c r="K16" s="61"/>
      <c r="L16" s="25">
        <f>SUM(B5:B16)-SUM(C5:C16)-SUM(D5:D16)-SUM(E5:E16)-SUM(F5:F16)-SUM(G5:G16)-SUM(H5:H16)+SUM(J5:J16)</f>
        <v>5716.29</v>
      </c>
    </row>
    <row r="17" spans="1:12" x14ac:dyDescent="0.2">
      <c r="A17" s="62">
        <v>45658</v>
      </c>
      <c r="B17" s="66">
        <v>550</v>
      </c>
      <c r="C17" s="67">
        <v>14.13</v>
      </c>
      <c r="D17" s="67"/>
      <c r="E17" s="67">
        <v>6</v>
      </c>
      <c r="F17" s="67"/>
      <c r="G17" s="67"/>
      <c r="H17" s="67"/>
      <c r="I17" s="67"/>
      <c r="J17" s="67">
        <f>IF(C17&gt;$H$1,C17-$H$1,0)</f>
        <v>0</v>
      </c>
      <c r="K17" s="68"/>
    </row>
    <row r="18" spans="1:12" x14ac:dyDescent="0.2">
      <c r="A18" s="54">
        <v>45689</v>
      </c>
      <c r="B18" s="55">
        <v>550</v>
      </c>
      <c r="C18" s="56">
        <v>9.39</v>
      </c>
      <c r="D18" s="56"/>
      <c r="E18" s="56">
        <v>6</v>
      </c>
      <c r="F18" s="56"/>
      <c r="G18" s="56"/>
      <c r="H18" s="56">
        <v>463.1</v>
      </c>
      <c r="I18" s="56" t="s">
        <v>121</v>
      </c>
      <c r="J18" s="56">
        <f>IF(C18&gt;$H$1,C18-$H$1,0)</f>
        <v>0</v>
      </c>
      <c r="K18" s="57"/>
    </row>
    <row r="19" spans="1:12" x14ac:dyDescent="0.2">
      <c r="A19" s="50">
        <v>45717</v>
      </c>
      <c r="B19" s="51">
        <v>550</v>
      </c>
      <c r="C19" s="52">
        <v>9.39</v>
      </c>
      <c r="D19" s="52"/>
      <c r="E19" s="52">
        <v>6</v>
      </c>
      <c r="F19" s="52"/>
      <c r="G19" s="52"/>
      <c r="H19" s="52"/>
      <c r="I19" s="52"/>
      <c r="J19" s="52">
        <f>IF(C19&gt;$H$1,C19-$H$1,0)</f>
        <v>0</v>
      </c>
      <c r="K19" s="53"/>
    </row>
    <row r="20" spans="1:12" x14ac:dyDescent="0.2">
      <c r="A20" s="54">
        <v>45748</v>
      </c>
      <c r="B20" s="55">
        <v>550</v>
      </c>
      <c r="C20" s="56">
        <v>12.4</v>
      </c>
      <c r="D20" s="56"/>
      <c r="E20" s="56">
        <v>6</v>
      </c>
      <c r="F20" s="56"/>
      <c r="G20" s="56"/>
      <c r="H20" s="56"/>
      <c r="I20" s="56"/>
      <c r="J20" s="56">
        <f>IF(C20&gt;$H$1,C20-$H$1,0)</f>
        <v>0</v>
      </c>
      <c r="K20" s="57"/>
    </row>
    <row r="21" spans="1:12" x14ac:dyDescent="0.2">
      <c r="A21" s="50">
        <v>45778</v>
      </c>
      <c r="B21" s="51">
        <v>550</v>
      </c>
      <c r="C21" s="52">
        <v>22.54</v>
      </c>
      <c r="D21" s="52"/>
      <c r="E21" s="52">
        <v>6</v>
      </c>
      <c r="F21" s="52"/>
      <c r="G21" s="52"/>
      <c r="H21" s="52"/>
      <c r="I21" s="52"/>
      <c r="J21" s="52"/>
      <c r="K21" s="53"/>
    </row>
    <row r="22" spans="1:12" x14ac:dyDescent="0.2">
      <c r="A22" s="54">
        <v>45809</v>
      </c>
      <c r="B22" s="55">
        <f>550/2</f>
        <v>275</v>
      </c>
      <c r="C22" s="56">
        <v>30.06</v>
      </c>
      <c r="D22" s="56"/>
      <c r="E22" s="56">
        <v>6</v>
      </c>
      <c r="F22" s="56"/>
      <c r="G22" s="56"/>
      <c r="H22" s="56"/>
      <c r="I22" s="56" t="s">
        <v>157</v>
      </c>
      <c r="J22" s="56"/>
      <c r="K22" s="57"/>
    </row>
    <row r="23" spans="1:12" x14ac:dyDescent="0.2">
      <c r="A23" s="50">
        <v>45839</v>
      </c>
      <c r="B23" s="51">
        <v>550</v>
      </c>
      <c r="C23" s="52">
        <v>10.32</v>
      </c>
      <c r="D23" s="52"/>
      <c r="E23" s="52">
        <v>6</v>
      </c>
      <c r="F23" s="52"/>
      <c r="G23" s="52"/>
      <c r="H23" s="52"/>
      <c r="I23" s="52"/>
      <c r="J23" s="52">
        <f>IF(C23&gt;$H$1,C23-$H$1,0)</f>
        <v>0</v>
      </c>
      <c r="K23" s="53"/>
    </row>
    <row r="24" spans="1:12" x14ac:dyDescent="0.2">
      <c r="A24" s="54">
        <v>45870</v>
      </c>
      <c r="B24" s="55">
        <v>560</v>
      </c>
      <c r="C24" s="56">
        <v>17.39</v>
      </c>
      <c r="D24" s="56"/>
      <c r="E24" s="56">
        <v>6</v>
      </c>
      <c r="F24" s="56"/>
      <c r="G24" s="56"/>
      <c r="H24" s="56"/>
      <c r="I24" s="56"/>
      <c r="J24" s="56">
        <f>IF(C24&gt;$H$1,C24-$H$1,0)</f>
        <v>0</v>
      </c>
      <c r="K24" s="57"/>
    </row>
    <row r="25" spans="1:12" x14ac:dyDescent="0.2">
      <c r="A25" s="50">
        <v>45901</v>
      </c>
      <c r="B25" s="51">
        <v>560</v>
      </c>
      <c r="C25" s="52">
        <v>28.58</v>
      </c>
      <c r="D25" s="52"/>
      <c r="E25" s="52">
        <v>6</v>
      </c>
      <c r="F25" s="52"/>
      <c r="G25" s="52"/>
      <c r="H25" s="52">
        <v>35</v>
      </c>
      <c r="I25" s="52" t="s">
        <v>165</v>
      </c>
      <c r="J25" s="52">
        <f>IF(C25&gt;$H$1,C25-$H$1,0)</f>
        <v>8.5799999999999983</v>
      </c>
      <c r="K25" s="53"/>
    </row>
    <row r="26" spans="1:12" x14ac:dyDescent="0.2">
      <c r="A26" s="54">
        <v>45931</v>
      </c>
      <c r="B26" s="55">
        <v>560</v>
      </c>
      <c r="C26" s="56">
        <v>18.37</v>
      </c>
      <c r="D26" s="56"/>
      <c r="E26" s="56">
        <v>6</v>
      </c>
      <c r="F26" s="56"/>
      <c r="G26" s="56"/>
      <c r="H26" s="56">
        <v>35</v>
      </c>
      <c r="I26" s="56" t="s">
        <v>166</v>
      </c>
      <c r="J26" s="56">
        <f>IF(C26&gt;$H$1,C26-$H$1,0)</f>
        <v>0</v>
      </c>
      <c r="K26" s="57"/>
    </row>
    <row r="27" spans="1:12" x14ac:dyDescent="0.2">
      <c r="A27" s="50">
        <v>45962</v>
      </c>
      <c r="B27" s="51">
        <v>560</v>
      </c>
      <c r="C27" s="52">
        <v>13.53</v>
      </c>
      <c r="D27" s="52"/>
      <c r="E27" s="52">
        <v>6</v>
      </c>
      <c r="F27" s="52"/>
      <c r="G27" s="52"/>
      <c r="H27" s="52"/>
      <c r="I27" s="52"/>
      <c r="J27" s="52">
        <f>IF(C27&gt;$H$1,C27-$H$1,0)</f>
        <v>0</v>
      </c>
      <c r="K27" s="53"/>
    </row>
    <row r="28" spans="1:12" ht="15.75" thickBot="1" x14ac:dyDescent="0.25">
      <c r="A28" s="58">
        <v>45992</v>
      </c>
      <c r="B28" s="59">
        <v>560</v>
      </c>
      <c r="C28" s="60">
        <v>15.35</v>
      </c>
      <c r="D28" s="60"/>
      <c r="E28" s="60">
        <v>6</v>
      </c>
      <c r="F28" s="60"/>
      <c r="G28" s="60"/>
      <c r="H28" s="60"/>
      <c r="I28" s="60"/>
      <c r="J28" s="60">
        <f>IF(C28&gt;$H$1,C28-$H$1,0)</f>
        <v>0</v>
      </c>
      <c r="K28" s="61"/>
      <c r="L28" s="25">
        <f>SUM(B17:B28)-SUM(C17:C28)-SUM(D17:D28)-SUM(E17:E28)-SUM(F17:F28)-SUM(G17:G28)-SUM(H17:H28)+SUM(J17:J28)</f>
        <v>5577.03</v>
      </c>
    </row>
    <row r="29" spans="1:12" x14ac:dyDescent="0.2">
      <c r="A29" s="62">
        <v>46023</v>
      </c>
      <c r="B29" s="66">
        <v>560</v>
      </c>
      <c r="C29" s="67"/>
      <c r="D29" s="67"/>
      <c r="E29" s="67">
        <v>6</v>
      </c>
      <c r="F29" s="67"/>
      <c r="G29" s="67"/>
      <c r="H29" s="67"/>
      <c r="I29" s="67"/>
      <c r="J29" s="67">
        <f>IF(C29&gt;$H$1,C29-$H$1,0)</f>
        <v>0</v>
      </c>
      <c r="K29" s="68"/>
    </row>
    <row r="30" spans="1:12" x14ac:dyDescent="0.2">
      <c r="A30" s="54">
        <v>46054</v>
      </c>
      <c r="B30" s="55"/>
      <c r="C30" s="56"/>
      <c r="D30" s="56"/>
      <c r="E30" s="56"/>
      <c r="F30" s="56"/>
      <c r="G30" s="56"/>
      <c r="H30" s="56">
        <v>463.1</v>
      </c>
      <c r="I30" s="56" t="s">
        <v>121</v>
      </c>
      <c r="J30" s="56">
        <f>IF(C30&gt;$H$1,C30-$H$1,0)</f>
        <v>0</v>
      </c>
      <c r="K30" s="57"/>
    </row>
    <row r="31" spans="1:12" x14ac:dyDescent="0.2">
      <c r="A31" s="50">
        <v>46082</v>
      </c>
      <c r="B31" s="51"/>
      <c r="C31" s="52"/>
      <c r="D31" s="52"/>
      <c r="E31" s="52"/>
      <c r="F31" s="52"/>
      <c r="G31" s="52"/>
      <c r="H31" s="52"/>
      <c r="I31" s="52"/>
      <c r="J31" s="52">
        <f>IF(C31&gt;$H$1,C31-$H$1,0)</f>
        <v>0</v>
      </c>
      <c r="K31" s="53"/>
    </row>
    <row r="32" spans="1:12" x14ac:dyDescent="0.2">
      <c r="A32" s="54">
        <v>46113</v>
      </c>
      <c r="B32" s="55"/>
      <c r="C32" s="56"/>
      <c r="D32" s="56"/>
      <c r="E32" s="56"/>
      <c r="F32" s="56"/>
      <c r="G32" s="56"/>
      <c r="H32" s="56"/>
      <c r="I32" s="56"/>
      <c r="J32" s="56">
        <f>IF(C32&gt;$H$1,C32-$H$1,0)</f>
        <v>0</v>
      </c>
      <c r="K32" s="57"/>
    </row>
    <row r="33" spans="1:12" x14ac:dyDescent="0.2">
      <c r="A33" s="50">
        <v>46143</v>
      </c>
      <c r="B33" s="51"/>
      <c r="C33" s="52"/>
      <c r="D33" s="52"/>
      <c r="E33" s="52"/>
      <c r="F33" s="52"/>
      <c r="G33" s="52"/>
      <c r="H33" s="52"/>
      <c r="I33" s="52"/>
      <c r="J33" s="52">
        <f>IF(C33&gt;$H$1,C33-$H$1,0)</f>
        <v>0</v>
      </c>
      <c r="K33" s="53"/>
    </row>
    <row r="34" spans="1:12" x14ac:dyDescent="0.2">
      <c r="A34" s="54">
        <v>46174</v>
      </c>
      <c r="B34" s="55"/>
      <c r="C34" s="56"/>
      <c r="D34" s="56"/>
      <c r="E34" s="56"/>
      <c r="F34" s="56"/>
      <c r="G34" s="56"/>
      <c r="H34" s="56"/>
      <c r="I34" s="56"/>
      <c r="J34" s="56">
        <f>IF(C34&gt;$H$1,C34-$H$1,0)</f>
        <v>0</v>
      </c>
      <c r="K34" s="57"/>
    </row>
    <row r="35" spans="1:12" x14ac:dyDescent="0.2">
      <c r="A35" s="50">
        <v>46204</v>
      </c>
      <c r="B35" s="51"/>
      <c r="C35" s="52"/>
      <c r="D35" s="52"/>
      <c r="E35" s="52"/>
      <c r="F35" s="52"/>
      <c r="G35" s="52"/>
      <c r="H35" s="52"/>
      <c r="I35" s="52"/>
      <c r="J35" s="52">
        <f>IF(C35&gt;$H$1,C35-$H$1,0)</f>
        <v>0</v>
      </c>
      <c r="K35" s="53"/>
    </row>
    <row r="36" spans="1:12" x14ac:dyDescent="0.2">
      <c r="A36" s="54">
        <v>46235</v>
      </c>
      <c r="B36" s="55"/>
      <c r="C36" s="56"/>
      <c r="D36" s="56"/>
      <c r="E36" s="56"/>
      <c r="F36" s="56"/>
      <c r="G36" s="56"/>
      <c r="H36" s="56"/>
      <c r="I36" s="56"/>
      <c r="J36" s="56">
        <f>IF(C36&gt;$H$1,C36-$H$1,0)</f>
        <v>0</v>
      </c>
      <c r="K36" s="57"/>
    </row>
    <row r="37" spans="1:12" x14ac:dyDescent="0.2">
      <c r="A37" s="50">
        <v>46266</v>
      </c>
      <c r="B37" s="51"/>
      <c r="C37" s="52"/>
      <c r="D37" s="52"/>
      <c r="E37" s="52"/>
      <c r="F37" s="52"/>
      <c r="G37" s="52"/>
      <c r="H37" s="52"/>
      <c r="I37" s="52"/>
      <c r="J37" s="52">
        <f>IF(C37&gt;$H$1,C37-$H$1,0)</f>
        <v>0</v>
      </c>
      <c r="K37" s="53"/>
    </row>
    <row r="38" spans="1:12" x14ac:dyDescent="0.2">
      <c r="A38" s="54">
        <v>46296</v>
      </c>
      <c r="B38" s="55"/>
      <c r="C38" s="56"/>
      <c r="D38" s="56"/>
      <c r="E38" s="56"/>
      <c r="F38" s="56"/>
      <c r="G38" s="56"/>
      <c r="H38" s="56"/>
      <c r="I38" s="56"/>
      <c r="J38" s="56">
        <f>IF(C38&gt;$H$1,C38-$H$1,0)</f>
        <v>0</v>
      </c>
      <c r="K38" s="57"/>
    </row>
    <row r="39" spans="1:12" x14ac:dyDescent="0.2">
      <c r="A39" s="50">
        <v>46327</v>
      </c>
      <c r="B39" s="51"/>
      <c r="C39" s="52"/>
      <c r="D39" s="52"/>
      <c r="E39" s="52"/>
      <c r="F39" s="52"/>
      <c r="G39" s="52"/>
      <c r="H39" s="52"/>
      <c r="I39" s="52"/>
      <c r="J39" s="52">
        <f>IF(C39&gt;$H$1,C39-$H$1,0)</f>
        <v>0</v>
      </c>
      <c r="K39" s="53"/>
    </row>
    <row r="40" spans="1:12" ht="15.75" thickBot="1" x14ac:dyDescent="0.25">
      <c r="A40" s="58">
        <v>46357</v>
      </c>
      <c r="B40" s="59"/>
      <c r="C40" s="60"/>
      <c r="D40" s="60"/>
      <c r="E40" s="60"/>
      <c r="F40" s="60"/>
      <c r="G40" s="60"/>
      <c r="H40" s="60"/>
      <c r="I40" s="60"/>
      <c r="J40" s="60">
        <f>IF(C40&gt;$H$1,C40-$H$1,0)</f>
        <v>0</v>
      </c>
      <c r="K40" s="61"/>
      <c r="L40" s="25">
        <f>SUM(B29:B40)-SUM(C29:C40)-SUM(D29:D40)-SUM(E29:E40)-SUM(F29:F40)-SUM(G29:G40)-SUM(H29:H40)+SUM(J29:J40)</f>
        <v>90.899999999999977</v>
      </c>
    </row>
    <row r="41" spans="1:12" x14ac:dyDescent="0.2">
      <c r="A41" s="29"/>
      <c r="B41" s="30">
        <f>SUM(B29:B40)</f>
        <v>560</v>
      </c>
      <c r="C41" s="30">
        <f t="shared" ref="C41:J41" si="0">SUM(C29:C40)</f>
        <v>0</v>
      </c>
      <c r="D41" s="30">
        <f t="shared" si="0"/>
        <v>0</v>
      </c>
      <c r="E41" s="30">
        <f t="shared" si="0"/>
        <v>6</v>
      </c>
      <c r="F41" s="30">
        <f t="shared" si="0"/>
        <v>0</v>
      </c>
      <c r="G41" s="30">
        <f t="shared" si="0"/>
        <v>0</v>
      </c>
      <c r="H41" s="30">
        <f t="shared" si="0"/>
        <v>463.1</v>
      </c>
      <c r="I41" s="30"/>
      <c r="J41" s="30">
        <f t="shared" si="0"/>
        <v>0</v>
      </c>
      <c r="K41" s="31"/>
    </row>
    <row r="42" spans="1:12" x14ac:dyDescent="0.2">
      <c r="A42" s="29" t="s">
        <v>5</v>
      </c>
      <c r="B42" s="30">
        <f>B41-C41-D41-E41-F41-G41-H41+J41</f>
        <v>90.899999999999977</v>
      </c>
      <c r="C42" s="30"/>
      <c r="D42" s="30"/>
      <c r="E42" s="30"/>
      <c r="F42" s="30"/>
      <c r="G42" s="30"/>
      <c r="H42" s="30"/>
      <c r="I42" s="30"/>
      <c r="J42" s="30"/>
      <c r="K42" s="30"/>
    </row>
    <row r="43" spans="1:12" x14ac:dyDescent="0.2">
      <c r="A43" s="29" t="s">
        <v>15</v>
      </c>
      <c r="B43" s="32">
        <f>B42/Master!X3</f>
        <v>2.2724999999999993E-3</v>
      </c>
      <c r="C43" s="29"/>
      <c r="D43" s="29"/>
      <c r="E43" s="29"/>
      <c r="F43" s="29"/>
      <c r="G43" s="29"/>
      <c r="H43" s="29"/>
      <c r="I43" s="29"/>
      <c r="J43" s="29"/>
      <c r="K43" s="29"/>
    </row>
    <row r="44" spans="1:12" x14ac:dyDescent="0.2">
      <c r="A44" s="24" t="s">
        <v>94</v>
      </c>
      <c r="B44" s="25">
        <f>B4+B42</f>
        <v>90.899999999999977</v>
      </c>
      <c r="C44" s="26" t="s">
        <v>101</v>
      </c>
      <c r="D44" s="27">
        <v>45657</v>
      </c>
      <c r="E44" s="24"/>
      <c r="F44" s="24"/>
      <c r="G44" s="24"/>
      <c r="H44" s="24"/>
      <c r="I44" s="24"/>
      <c r="J44" s="24"/>
      <c r="K44" s="24"/>
    </row>
  </sheetData>
  <pageMargins left="0.7" right="0.7" top="0.75" bottom="0.75" header="0.3" footer="0.3"/>
  <pageSetup orientation="portrait" horizontalDpi="1200" verticalDpi="1200" r:id="rId1"/>
  <headerFooter>
    <oddFooter>&amp;L&amp;1#&amp;"Arial"&amp;10&amp;K000000Non-Business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D296-6099-40E8-88A5-D69C541C468A}">
  <sheetPr>
    <tabColor theme="9"/>
  </sheetPr>
  <dimension ref="A1:R44"/>
  <sheetViews>
    <sheetView workbookViewId="0">
      <pane ySplit="3" topLeftCell="A4" activePane="bottomLeft" state="frozen"/>
      <selection activeCell="M23" sqref="M23"/>
      <selection pane="bottomLeft" activeCell="N21" sqref="N21"/>
    </sheetView>
  </sheetViews>
  <sheetFormatPr defaultColWidth="8.609375" defaultRowHeight="15" x14ac:dyDescent="0.2"/>
  <cols>
    <col min="1" max="1" width="9.953125" customWidth="1"/>
    <col min="2" max="2" width="13.71875" bestFit="1" customWidth="1"/>
    <col min="3" max="3" width="12.64453125" bestFit="1" customWidth="1"/>
    <col min="4" max="5" width="12.23828125" bestFit="1" customWidth="1"/>
    <col min="6" max="7" width="12.23828125" customWidth="1"/>
    <col min="8" max="8" width="13.5859375" bestFit="1" customWidth="1"/>
    <col min="9" max="9" width="26.76953125" bestFit="1" customWidth="1"/>
    <col min="10" max="10" width="12.23828125" bestFit="1" customWidth="1"/>
    <col min="11" max="11" width="8.609375" bestFit="1" customWidth="1"/>
    <col min="12" max="12" width="13.71875" bestFit="1" customWidth="1"/>
    <col min="15" max="15" width="11.97265625" bestFit="1" customWidth="1"/>
    <col min="16" max="16" width="12.5078125" bestFit="1" customWidth="1"/>
    <col min="18" max="18" width="13.44921875" bestFit="1" customWidth="1"/>
  </cols>
  <sheetData>
    <row r="1" spans="1:18" x14ac:dyDescent="0.2">
      <c r="A1" s="79" t="s">
        <v>0</v>
      </c>
      <c r="B1" s="80">
        <f>Master!B9</f>
        <v>1206</v>
      </c>
      <c r="C1" s="81" t="s">
        <v>38</v>
      </c>
      <c r="D1" s="80" t="str">
        <f>Master!J9</f>
        <v>P3-559</v>
      </c>
      <c r="E1" s="81" t="s">
        <v>2</v>
      </c>
      <c r="F1" s="80">
        <f>Master!N9</f>
        <v>1041898808</v>
      </c>
      <c r="G1" s="81" t="s">
        <v>27</v>
      </c>
      <c r="H1" s="82">
        <f>Master!O9</f>
        <v>20</v>
      </c>
      <c r="I1" s="83"/>
      <c r="J1" s="83"/>
      <c r="K1" s="65"/>
      <c r="N1" s="79" t="s">
        <v>0</v>
      </c>
      <c r="O1" s="80">
        <f>Master!B9</f>
        <v>1206</v>
      </c>
      <c r="P1" s="81"/>
      <c r="Q1" s="81" t="s">
        <v>2</v>
      </c>
      <c r="R1" s="121">
        <f>Master!N9</f>
        <v>1041898808</v>
      </c>
    </row>
    <row r="2" spans="1:18" ht="15.75" thickBot="1" x14ac:dyDescent="0.25">
      <c r="A2" s="84" t="s">
        <v>28</v>
      </c>
      <c r="B2" s="85" t="str">
        <f>Master!C9</f>
        <v>Amal</v>
      </c>
      <c r="C2" s="86" t="s">
        <v>34</v>
      </c>
      <c r="D2" s="85" t="str">
        <f>Master!I9</f>
        <v>3665 2052</v>
      </c>
      <c r="E2" s="86" t="s">
        <v>29</v>
      </c>
      <c r="F2" s="87">
        <f>Master!K9</f>
        <v>44866</v>
      </c>
      <c r="G2" s="86" t="s">
        <v>30</v>
      </c>
      <c r="H2" s="87">
        <f>Master!L9</f>
        <v>46326</v>
      </c>
      <c r="I2" s="88"/>
      <c r="J2" s="88"/>
      <c r="K2" s="89"/>
      <c r="N2" s="84" t="s">
        <v>28</v>
      </c>
      <c r="O2" s="85" t="str">
        <f>Master!C9</f>
        <v>Amal</v>
      </c>
      <c r="P2" s="86"/>
      <c r="Q2" s="122" t="s">
        <v>27</v>
      </c>
      <c r="R2" s="128">
        <f>Master!O9</f>
        <v>20</v>
      </c>
    </row>
    <row r="3" spans="1:18" ht="15.75" thickBot="1" x14ac:dyDescent="0.25">
      <c r="A3" s="14" t="s">
        <v>31</v>
      </c>
      <c r="B3" s="14" t="s">
        <v>32</v>
      </c>
      <c r="C3" s="14" t="s">
        <v>2</v>
      </c>
      <c r="D3" s="14" t="s">
        <v>33</v>
      </c>
      <c r="E3" s="14" t="s">
        <v>3</v>
      </c>
      <c r="F3" s="14" t="s">
        <v>93</v>
      </c>
      <c r="G3" s="14" t="s">
        <v>98</v>
      </c>
      <c r="H3" s="14" t="s">
        <v>96</v>
      </c>
      <c r="I3" s="14" t="s">
        <v>97</v>
      </c>
      <c r="J3" s="14" t="s">
        <v>95</v>
      </c>
      <c r="K3" s="14" t="s">
        <v>103</v>
      </c>
      <c r="N3" s="170" t="s">
        <v>31</v>
      </c>
      <c r="O3" s="171" t="s">
        <v>2</v>
      </c>
      <c r="P3" s="171" t="s">
        <v>171</v>
      </c>
      <c r="Q3" s="171"/>
      <c r="R3" s="172" t="s">
        <v>95</v>
      </c>
    </row>
    <row r="4" spans="1:18" x14ac:dyDescent="0.2">
      <c r="A4" s="17" t="s">
        <v>94</v>
      </c>
      <c r="B4" s="18">
        <v>0</v>
      </c>
      <c r="C4" s="19" t="s">
        <v>101</v>
      </c>
      <c r="D4" s="20">
        <v>45291</v>
      </c>
      <c r="E4" s="17"/>
      <c r="F4" s="17"/>
      <c r="G4" s="17"/>
      <c r="H4" s="17"/>
      <c r="I4" s="17"/>
      <c r="J4" s="17"/>
      <c r="K4" s="17"/>
      <c r="N4" s="62">
        <v>45778</v>
      </c>
      <c r="O4" s="63">
        <v>15.719999999999999</v>
      </c>
      <c r="P4" s="64">
        <v>15.15</v>
      </c>
      <c r="Q4" s="64"/>
      <c r="R4" s="110">
        <f>O4+P4-$R$2</f>
        <v>10.869999999999997</v>
      </c>
    </row>
    <row r="5" spans="1:18" x14ac:dyDescent="0.2">
      <c r="A5" s="12">
        <v>45292</v>
      </c>
      <c r="B5" s="21">
        <f>Master!$M$9</f>
        <v>500</v>
      </c>
      <c r="C5" s="22">
        <v>10.78</v>
      </c>
      <c r="D5" s="22">
        <v>5.25</v>
      </c>
      <c r="E5" s="22">
        <f>Master!$P$9</f>
        <v>16.18</v>
      </c>
      <c r="F5" s="22">
        <v>33</v>
      </c>
      <c r="G5" s="22"/>
      <c r="H5" s="22"/>
      <c r="I5" s="22"/>
      <c r="J5" s="22">
        <f>IF((C5+D5)&gt;$H$1,(C5+D5)-$H$1,0)</f>
        <v>0</v>
      </c>
      <c r="K5" s="23"/>
      <c r="N5" s="54">
        <v>45809</v>
      </c>
      <c r="O5" s="55">
        <v>11.759999999999998</v>
      </c>
      <c r="P5" s="56">
        <v>12.2</v>
      </c>
      <c r="Q5" s="56"/>
      <c r="R5" s="111">
        <f t="shared" ref="R5:R9" si="0">O5+P5-$R$2</f>
        <v>3.9599999999999973</v>
      </c>
    </row>
    <row r="6" spans="1:18" x14ac:dyDescent="0.2">
      <c r="A6" s="13">
        <v>45293</v>
      </c>
      <c r="B6" s="9">
        <f>Master!$M$9</f>
        <v>500</v>
      </c>
      <c r="C6" s="10">
        <v>10.78</v>
      </c>
      <c r="D6" s="10">
        <v>5.25</v>
      </c>
      <c r="E6" s="10">
        <f>Master!$P$9</f>
        <v>16.18</v>
      </c>
      <c r="F6" s="10">
        <v>33</v>
      </c>
      <c r="G6" s="10"/>
      <c r="H6" s="10"/>
      <c r="I6" s="10"/>
      <c r="J6" s="10">
        <f>IF((C6+D6)&gt;$H$1,(C6+D6)-$H$1,0)</f>
        <v>0</v>
      </c>
      <c r="K6" s="11"/>
      <c r="N6" s="50">
        <v>45839</v>
      </c>
      <c r="O6" s="51">
        <v>16.480000000000004</v>
      </c>
      <c r="P6" s="52">
        <v>16.649999999999999</v>
      </c>
      <c r="Q6" s="52"/>
      <c r="R6" s="112">
        <f t="shared" si="0"/>
        <v>13.130000000000003</v>
      </c>
    </row>
    <row r="7" spans="1:18" x14ac:dyDescent="0.2">
      <c r="A7" s="12">
        <v>45294</v>
      </c>
      <c r="B7" s="7">
        <f>Master!$M$9</f>
        <v>500</v>
      </c>
      <c r="C7" s="8">
        <v>10.78</v>
      </c>
      <c r="D7" s="8">
        <v>5.25</v>
      </c>
      <c r="E7" s="8">
        <f>Master!$P$9</f>
        <v>16.18</v>
      </c>
      <c r="F7" s="8">
        <v>33</v>
      </c>
      <c r="G7" s="8"/>
      <c r="H7" s="8"/>
      <c r="I7" s="8"/>
      <c r="J7" s="8">
        <f>IF((C7+D7)&gt;$H$1,(C7+D7)-$H$1,0)</f>
        <v>0</v>
      </c>
      <c r="K7" s="6"/>
      <c r="N7" s="54">
        <v>45870</v>
      </c>
      <c r="O7" s="55">
        <v>17.019999999999996</v>
      </c>
      <c r="P7" s="56">
        <v>16.7</v>
      </c>
      <c r="Q7" s="56"/>
      <c r="R7" s="111">
        <f t="shared" si="0"/>
        <v>13.719999999999999</v>
      </c>
    </row>
    <row r="8" spans="1:18" x14ac:dyDescent="0.2">
      <c r="A8" s="13">
        <v>45295</v>
      </c>
      <c r="B8" s="9">
        <f>Master!$M$9</f>
        <v>500</v>
      </c>
      <c r="C8" s="10">
        <v>10.78</v>
      </c>
      <c r="D8" s="10">
        <v>5.25</v>
      </c>
      <c r="E8" s="10">
        <f>Master!$P$9</f>
        <v>16.18</v>
      </c>
      <c r="F8" s="10">
        <v>33</v>
      </c>
      <c r="G8" s="10"/>
      <c r="H8" s="10"/>
      <c r="I8" s="10"/>
      <c r="J8" s="10">
        <f>IF((C8+D8)&gt;$H$1,(C8+D8)-$H$1,0)</f>
        <v>0</v>
      </c>
      <c r="K8" s="11"/>
      <c r="N8" s="50">
        <v>45901</v>
      </c>
      <c r="O8" s="51">
        <v>14.939999999999998</v>
      </c>
      <c r="P8" s="52">
        <v>8.9749999999999996</v>
      </c>
      <c r="Q8" s="52"/>
      <c r="R8" s="112">
        <f t="shared" si="0"/>
        <v>3.9149999999999991</v>
      </c>
    </row>
    <row r="9" spans="1:18" x14ac:dyDescent="0.2">
      <c r="A9" s="12">
        <v>45296</v>
      </c>
      <c r="B9" s="7">
        <f>Master!$M$9</f>
        <v>500</v>
      </c>
      <c r="C9" s="8">
        <v>10.78</v>
      </c>
      <c r="D9" s="8">
        <v>5.25</v>
      </c>
      <c r="E9" s="8">
        <f>Master!$P$9</f>
        <v>16.18</v>
      </c>
      <c r="F9" s="8">
        <v>33</v>
      </c>
      <c r="G9" s="8"/>
      <c r="H9" s="8"/>
      <c r="I9" s="8"/>
      <c r="J9" s="8">
        <f>IF((C9+D9)&gt;$H$1,(C9+D9)-$H$1,0)</f>
        <v>0</v>
      </c>
      <c r="K9" s="6"/>
      <c r="N9" s="54">
        <v>45931</v>
      </c>
      <c r="O9" s="55">
        <v>15.980000000000004</v>
      </c>
      <c r="P9" s="56">
        <v>8.3000000000000007</v>
      </c>
      <c r="Q9" s="56"/>
      <c r="R9" s="111">
        <f t="shared" si="0"/>
        <v>4.2800000000000047</v>
      </c>
    </row>
    <row r="10" spans="1:18" ht="15.75" thickBot="1" x14ac:dyDescent="0.25">
      <c r="A10" s="13">
        <v>45444</v>
      </c>
      <c r="B10" s="9">
        <f>Master!$M$9</f>
        <v>500</v>
      </c>
      <c r="C10" s="10">
        <v>14.88</v>
      </c>
      <c r="D10" s="10">
        <v>15.55</v>
      </c>
      <c r="E10" s="10">
        <f>Master!$P$9</f>
        <v>16.18</v>
      </c>
      <c r="F10" s="10">
        <v>33</v>
      </c>
      <c r="G10" s="10"/>
      <c r="H10" s="10"/>
      <c r="I10" s="10"/>
      <c r="J10" s="10">
        <f>IF((C10+D10)&gt;$H$1,(C10+D10)-$H$1,0)</f>
        <v>10.43</v>
      </c>
      <c r="K10" s="11" t="s">
        <v>91</v>
      </c>
      <c r="N10" s="173"/>
      <c r="O10" s="174"/>
      <c r="P10" s="175"/>
      <c r="Q10" s="175"/>
      <c r="R10" s="176">
        <f>SUM(R4:R9)</f>
        <v>49.875</v>
      </c>
    </row>
    <row r="11" spans="1:18" x14ac:dyDescent="0.2">
      <c r="A11" s="12">
        <v>45474</v>
      </c>
      <c r="B11" s="7">
        <f>Master!$M$9</f>
        <v>500</v>
      </c>
      <c r="C11" s="8">
        <v>15.81</v>
      </c>
      <c r="D11" s="8">
        <v>15.65</v>
      </c>
      <c r="E11" s="8">
        <f>Master!$P$9</f>
        <v>16.18</v>
      </c>
      <c r="F11" s="8">
        <v>33</v>
      </c>
      <c r="G11" s="8"/>
      <c r="H11" s="8"/>
      <c r="I11" s="8"/>
      <c r="J11" s="8">
        <f>IF((C11+D11)&gt;$H$1,(C11+D11)-$H$1,0)</f>
        <v>11.46</v>
      </c>
      <c r="K11" s="6" t="s">
        <v>91</v>
      </c>
    </row>
    <row r="12" spans="1:18" x14ac:dyDescent="0.2">
      <c r="A12" s="13">
        <v>45505</v>
      </c>
      <c r="B12" s="9">
        <f>Master!$M$9</f>
        <v>500</v>
      </c>
      <c r="C12" s="10">
        <v>11.93</v>
      </c>
      <c r="D12" s="10">
        <v>17.5</v>
      </c>
      <c r="E12" s="10">
        <f>Master!$P$9</f>
        <v>16.18</v>
      </c>
      <c r="F12" s="10">
        <v>33</v>
      </c>
      <c r="G12" s="10"/>
      <c r="H12" s="10"/>
      <c r="I12" s="10"/>
      <c r="J12" s="10">
        <f>IF((C12+D12)&gt;$H$1,(C12+D12)-$H$1,0)</f>
        <v>9.43</v>
      </c>
      <c r="K12" s="11" t="s">
        <v>91</v>
      </c>
    </row>
    <row r="13" spans="1:18" x14ac:dyDescent="0.2">
      <c r="A13" s="12">
        <v>45536</v>
      </c>
      <c r="B13" s="7">
        <f>Master!$M$9</f>
        <v>500</v>
      </c>
      <c r="C13" s="8">
        <v>15.58</v>
      </c>
      <c r="D13" s="8">
        <v>13.475</v>
      </c>
      <c r="E13" s="8">
        <f>Master!$P$9</f>
        <v>16.18</v>
      </c>
      <c r="F13" s="8">
        <v>33</v>
      </c>
      <c r="G13" s="8"/>
      <c r="H13" s="8">
        <v>705.40800000000002</v>
      </c>
      <c r="I13" s="8" t="s">
        <v>120</v>
      </c>
      <c r="J13" s="8">
        <f>IF((C13+D13)&gt;$H$1,(C13+D13)-$H$1,0)</f>
        <v>9.0549999999999997</v>
      </c>
      <c r="K13" s="6" t="s">
        <v>91</v>
      </c>
    </row>
    <row r="14" spans="1:18" x14ac:dyDescent="0.2">
      <c r="A14" s="13">
        <v>45566</v>
      </c>
      <c r="B14" s="9">
        <f>Master!$M$9</f>
        <v>500</v>
      </c>
      <c r="C14" s="10">
        <v>13.46</v>
      </c>
      <c r="D14" s="10">
        <v>10.725</v>
      </c>
      <c r="E14" s="10">
        <v>14.5</v>
      </c>
      <c r="F14" s="10">
        <v>33</v>
      </c>
      <c r="G14" s="10"/>
      <c r="H14" s="10"/>
      <c r="I14" s="10"/>
      <c r="J14" s="10">
        <f>IF((C14+D14)&gt;$H$1,(C14+D14)-$H$1,0)</f>
        <v>4.1850000000000023</v>
      </c>
      <c r="K14" s="11" t="s">
        <v>91</v>
      </c>
    </row>
    <row r="15" spans="1:18" x14ac:dyDescent="0.2">
      <c r="A15" s="12">
        <v>45597</v>
      </c>
      <c r="B15" s="7">
        <f>Master!$M$9</f>
        <v>500</v>
      </c>
      <c r="C15" s="8">
        <f>65.9-52.5</f>
        <v>13.400000000000006</v>
      </c>
      <c r="D15" s="8">
        <v>5.6</v>
      </c>
      <c r="E15" s="8">
        <v>14.5</v>
      </c>
      <c r="F15" s="8">
        <v>33</v>
      </c>
      <c r="G15" s="8"/>
      <c r="H15" s="8"/>
      <c r="I15" s="8"/>
      <c r="J15" s="8">
        <f>IF((C15+D15)&gt;$H$1,(C15+D15)-$H$1,0)</f>
        <v>0</v>
      </c>
      <c r="K15" s="6"/>
    </row>
    <row r="16" spans="1:18" ht="15.75" thickBot="1" x14ac:dyDescent="0.25">
      <c r="A16" s="13">
        <v>45627</v>
      </c>
      <c r="B16" s="9">
        <f>Master!$M$9</f>
        <v>500</v>
      </c>
      <c r="C16" s="10">
        <v>15.43</v>
      </c>
      <c r="D16" s="10">
        <v>1.58</v>
      </c>
      <c r="E16" s="10">
        <v>14.5</v>
      </c>
      <c r="F16" s="10">
        <v>33</v>
      </c>
      <c r="G16" s="10"/>
      <c r="H16" s="10"/>
      <c r="I16" s="10"/>
      <c r="J16" s="10">
        <f>IF((C16+D16)&gt;$H$1,(C16+D16)-$H$1,0)</f>
        <v>0</v>
      </c>
      <c r="K16" s="11"/>
      <c r="L16" s="3">
        <f>SUM(B5:B16)-SUM(C5:C16)-SUM(D5:D16)-SUM(E5:E16)-SUM(F5:F16)-SUM(G5:G16)-SUM(H5:H16)+SUM(J5:J16)</f>
        <v>4493.3119999999999</v>
      </c>
    </row>
    <row r="17" spans="1:14" x14ac:dyDescent="0.2">
      <c r="A17" s="62">
        <v>45658</v>
      </c>
      <c r="B17" s="66">
        <v>500</v>
      </c>
      <c r="C17" s="67">
        <v>14.8</v>
      </c>
      <c r="D17" s="67">
        <v>0.55000000000000004</v>
      </c>
      <c r="E17" s="67">
        <v>14.5</v>
      </c>
      <c r="F17" s="67">
        <v>33</v>
      </c>
      <c r="G17" s="67"/>
      <c r="H17" s="67"/>
      <c r="I17" s="67"/>
      <c r="J17" s="67">
        <f>IF((C17+D17)&gt;$H$1,(C17+D17)-$H$1,0)</f>
        <v>0</v>
      </c>
      <c r="K17" s="68"/>
    </row>
    <row r="18" spans="1:14" x14ac:dyDescent="0.2">
      <c r="A18" s="54">
        <v>45689</v>
      </c>
      <c r="B18" s="55">
        <v>500</v>
      </c>
      <c r="C18" s="56">
        <f>64.49-50.5</f>
        <v>13.989999999999995</v>
      </c>
      <c r="D18" s="56">
        <v>0.625</v>
      </c>
      <c r="E18" s="56">
        <v>14.5</v>
      </c>
      <c r="F18" s="56">
        <v>33</v>
      </c>
      <c r="G18" s="56"/>
      <c r="H18" s="56"/>
      <c r="I18" s="56"/>
      <c r="J18" s="56">
        <f>IF((C18+D18)&gt;$H$1,(C18+D18)-$H$1,0)</f>
        <v>0</v>
      </c>
      <c r="K18" s="57"/>
    </row>
    <row r="19" spans="1:14" x14ac:dyDescent="0.2">
      <c r="A19" s="50">
        <v>45717</v>
      </c>
      <c r="B19" s="51">
        <v>500</v>
      </c>
      <c r="C19" s="52">
        <f>67.27-50.5</f>
        <v>16.769999999999996</v>
      </c>
      <c r="D19" s="52">
        <v>2.2250000000000001</v>
      </c>
      <c r="E19" s="52">
        <v>14.5</v>
      </c>
      <c r="F19" s="52">
        <v>33</v>
      </c>
      <c r="G19" s="52"/>
      <c r="H19" s="52"/>
      <c r="I19" s="52"/>
      <c r="J19" s="52">
        <f>IF((C19+D19)&gt;$H$1,(C19+D19)-$H$1,0)</f>
        <v>0</v>
      </c>
      <c r="K19" s="53"/>
    </row>
    <row r="20" spans="1:14" x14ac:dyDescent="0.2">
      <c r="A20" s="54">
        <v>45748</v>
      </c>
      <c r="B20" s="55">
        <v>500</v>
      </c>
      <c r="C20" s="56">
        <f>62.29-50.5</f>
        <v>11.79</v>
      </c>
      <c r="D20" s="56">
        <v>0</v>
      </c>
      <c r="E20" s="56">
        <v>14.5</v>
      </c>
      <c r="F20" s="56">
        <v>33</v>
      </c>
      <c r="G20" s="56"/>
      <c r="H20" s="56"/>
      <c r="I20" s="56"/>
      <c r="J20" s="56">
        <f>IF((C20+D20)&gt;$H$1,(C20+D20)-$H$1,0)</f>
        <v>0</v>
      </c>
      <c r="K20" s="57"/>
    </row>
    <row r="21" spans="1:14" x14ac:dyDescent="0.2">
      <c r="A21" s="50">
        <v>45778</v>
      </c>
      <c r="B21" s="51">
        <v>500</v>
      </c>
      <c r="C21" s="52">
        <f>66.22-50.5</f>
        <v>15.719999999999999</v>
      </c>
      <c r="D21" s="52">
        <v>15.15</v>
      </c>
      <c r="E21" s="52">
        <v>16.18</v>
      </c>
      <c r="F21" s="52">
        <v>33</v>
      </c>
      <c r="G21" s="52"/>
      <c r="H21" s="52"/>
      <c r="I21" s="52"/>
      <c r="J21" s="52">
        <f>IF((C21+D21)&gt;$H$1,(C21+D21)-$H$1,0)</f>
        <v>10.869999999999997</v>
      </c>
      <c r="K21" s="53"/>
    </row>
    <row r="22" spans="1:14" x14ac:dyDescent="0.2">
      <c r="A22" s="54">
        <v>45809</v>
      </c>
      <c r="B22" s="55">
        <v>500</v>
      </c>
      <c r="C22" s="56">
        <f>62.26-50.5</f>
        <v>11.759999999999998</v>
      </c>
      <c r="D22" s="56">
        <v>12.2</v>
      </c>
      <c r="E22" s="56">
        <v>16.18</v>
      </c>
      <c r="F22" s="56">
        <v>33</v>
      </c>
      <c r="G22" s="56"/>
      <c r="H22" s="56"/>
      <c r="I22" s="56"/>
      <c r="J22" s="56">
        <f>IF((C22+D22)&gt;$H$1,(C22+D22)-$H$1,0)</f>
        <v>3.9599999999999973</v>
      </c>
      <c r="K22" s="57"/>
    </row>
    <row r="23" spans="1:14" x14ac:dyDescent="0.2">
      <c r="A23" s="50">
        <v>45839</v>
      </c>
      <c r="B23" s="51">
        <v>500</v>
      </c>
      <c r="C23" s="52">
        <f>66.98-50.5</f>
        <v>16.480000000000004</v>
      </c>
      <c r="D23" s="52">
        <v>16.649999999999999</v>
      </c>
      <c r="E23" s="52">
        <v>16.18</v>
      </c>
      <c r="F23" s="52">
        <v>33</v>
      </c>
      <c r="G23" s="52"/>
      <c r="H23" s="52"/>
      <c r="I23" s="52"/>
      <c r="J23" s="52">
        <f>IF((C23+D23)&gt;$H$1,(C23+D23)-$H$1,0)</f>
        <v>13.130000000000003</v>
      </c>
      <c r="K23" s="53"/>
    </row>
    <row r="24" spans="1:14" x14ac:dyDescent="0.2">
      <c r="A24" s="54">
        <v>45870</v>
      </c>
      <c r="B24" s="55">
        <v>500</v>
      </c>
      <c r="C24" s="56">
        <f>67.52-50.5</f>
        <v>17.019999999999996</v>
      </c>
      <c r="D24" s="56">
        <v>16.7</v>
      </c>
      <c r="E24" s="56">
        <v>16.18</v>
      </c>
      <c r="F24" s="56">
        <v>33</v>
      </c>
      <c r="G24" s="56"/>
      <c r="H24" s="56"/>
      <c r="I24" s="56"/>
      <c r="J24" s="56">
        <f>IF((C24+D24)&gt;$H$1,(C24+D24)-$H$1,0)</f>
        <v>13.719999999999999</v>
      </c>
      <c r="K24" s="57"/>
    </row>
    <row r="25" spans="1:14" x14ac:dyDescent="0.2">
      <c r="A25" s="50">
        <v>45901</v>
      </c>
      <c r="B25" s="51">
        <v>500</v>
      </c>
      <c r="C25" s="52">
        <f>65.44-50.5</f>
        <v>14.939999999999998</v>
      </c>
      <c r="D25" s="52">
        <v>8.9749999999999996</v>
      </c>
      <c r="E25" s="52">
        <v>16.18</v>
      </c>
      <c r="F25" s="52">
        <v>33</v>
      </c>
      <c r="G25" s="52"/>
      <c r="H25" s="8">
        <v>705.40800000000002</v>
      </c>
      <c r="I25" s="8" t="s">
        <v>120</v>
      </c>
      <c r="J25" s="52">
        <f>IF((C25+D25)&gt;$H$1,(C25+D25)-$H$1,0)</f>
        <v>3.9149999999999991</v>
      </c>
      <c r="K25" s="53"/>
    </row>
    <row r="26" spans="1:14" x14ac:dyDescent="0.2">
      <c r="A26" s="54">
        <v>45931</v>
      </c>
      <c r="B26" s="55">
        <v>500</v>
      </c>
      <c r="C26" s="56">
        <f>66.48-50.5</f>
        <v>15.980000000000004</v>
      </c>
      <c r="D26" s="56">
        <v>8.3000000000000007</v>
      </c>
      <c r="E26" s="56">
        <v>16.18</v>
      </c>
      <c r="F26" s="56">
        <v>33</v>
      </c>
      <c r="G26" s="56"/>
      <c r="H26" s="56"/>
      <c r="I26" s="56"/>
      <c r="J26" s="56">
        <f>IF((C26+D26)&gt;$H$1,(C26+D26)-$H$1,0)</f>
        <v>4.2800000000000047</v>
      </c>
      <c r="K26" s="57"/>
    </row>
    <row r="27" spans="1:14" x14ac:dyDescent="0.2">
      <c r="A27" s="50">
        <v>45962</v>
      </c>
      <c r="B27" s="51">
        <v>500</v>
      </c>
      <c r="C27" s="52">
        <f>67.81-50.5</f>
        <v>17.310000000000002</v>
      </c>
      <c r="D27" s="52">
        <v>2.2000000000000002</v>
      </c>
      <c r="E27" s="52">
        <v>16.18</v>
      </c>
      <c r="F27" s="52">
        <v>33</v>
      </c>
      <c r="G27" s="52"/>
      <c r="H27" s="52"/>
      <c r="I27" s="52"/>
      <c r="J27" s="52">
        <f>IF((C27+D27)&gt;$H$1,(C27+D27)-$H$1,0)</f>
        <v>0</v>
      </c>
      <c r="K27" s="53"/>
    </row>
    <row r="28" spans="1:14" ht="15.75" thickBot="1" x14ac:dyDescent="0.25">
      <c r="A28" s="58">
        <v>45992</v>
      </c>
      <c r="B28" s="59">
        <v>500</v>
      </c>
      <c r="C28" s="60">
        <f>67.5-50.5</f>
        <v>17</v>
      </c>
      <c r="D28" s="60">
        <v>1.1000000000000001</v>
      </c>
      <c r="E28" s="60">
        <v>16.18</v>
      </c>
      <c r="F28" s="60">
        <v>33</v>
      </c>
      <c r="G28" s="60"/>
      <c r="H28" s="60"/>
      <c r="I28" s="60"/>
      <c r="J28" s="60">
        <f>IF((C28+D28)&gt;$H$1,(C28+D28)-$H$1,0)</f>
        <v>0</v>
      </c>
      <c r="K28" s="61"/>
      <c r="L28" s="3">
        <f>SUM(B17:B28)-SUM(C17:C28)-SUM(D17:D28)-SUM(E17:E28)-SUM(F17:F28)-SUM(G17:G28)-SUM(H17:H28)+SUM(J17:J28)</f>
        <v>4492.7919999999986</v>
      </c>
      <c r="N28">
        <f>45000/12</f>
        <v>3750</v>
      </c>
    </row>
    <row r="29" spans="1:14" x14ac:dyDescent="0.2">
      <c r="A29" s="50">
        <v>46023</v>
      </c>
      <c r="B29" s="69"/>
      <c r="C29" s="70"/>
      <c r="D29" s="70"/>
      <c r="E29" s="70"/>
      <c r="F29" s="70"/>
      <c r="G29" s="70"/>
      <c r="H29" s="70"/>
      <c r="I29" s="70"/>
      <c r="J29" s="70">
        <f>IF((C29+D29)&gt;$H$1,(C29+D29)-$H$1,0)</f>
        <v>0</v>
      </c>
      <c r="K29" s="71"/>
    </row>
    <row r="30" spans="1:14" x14ac:dyDescent="0.2">
      <c r="A30" s="54">
        <v>46054</v>
      </c>
      <c r="B30" s="55"/>
      <c r="C30" s="56"/>
      <c r="D30" s="56"/>
      <c r="E30" s="56"/>
      <c r="F30" s="56"/>
      <c r="G30" s="56"/>
      <c r="H30" s="56"/>
      <c r="I30" s="56"/>
      <c r="J30" s="56">
        <f>IF((C30+D30)&gt;$H$1,(C30+D30)-$H$1,0)</f>
        <v>0</v>
      </c>
      <c r="K30" s="57"/>
    </row>
    <row r="31" spans="1:14" x14ac:dyDescent="0.2">
      <c r="A31" s="50">
        <v>46082</v>
      </c>
      <c r="B31" s="51"/>
      <c r="C31" s="52"/>
      <c r="D31" s="52"/>
      <c r="E31" s="52"/>
      <c r="F31" s="52"/>
      <c r="G31" s="52"/>
      <c r="H31" s="52"/>
      <c r="I31" s="52"/>
      <c r="J31" s="52">
        <f>IF((C31+D31)&gt;$H$1,(C31+D31)-$H$1,0)</f>
        <v>0</v>
      </c>
      <c r="K31" s="53"/>
    </row>
    <row r="32" spans="1:14" x14ac:dyDescent="0.2">
      <c r="A32" s="54">
        <v>46113</v>
      </c>
      <c r="B32" s="55"/>
      <c r="C32" s="56"/>
      <c r="D32" s="56"/>
      <c r="E32" s="56"/>
      <c r="F32" s="56"/>
      <c r="G32" s="56"/>
      <c r="H32" s="56"/>
      <c r="I32" s="56"/>
      <c r="J32" s="56">
        <f>IF((C32+D32)&gt;$H$1,(C32+D32)-$H$1,0)</f>
        <v>0</v>
      </c>
      <c r="K32" s="57"/>
    </row>
    <row r="33" spans="1:12" x14ac:dyDescent="0.2">
      <c r="A33" s="50">
        <v>46143</v>
      </c>
      <c r="B33" s="51"/>
      <c r="C33" s="52"/>
      <c r="D33" s="52"/>
      <c r="E33" s="52"/>
      <c r="F33" s="52"/>
      <c r="G33" s="52"/>
      <c r="H33" s="52"/>
      <c r="I33" s="52"/>
      <c r="J33" s="52">
        <f>IF((C33+D33)&gt;$H$1,(C33+D33)-$H$1,0)</f>
        <v>0</v>
      </c>
      <c r="K33" s="53"/>
    </row>
    <row r="34" spans="1:12" x14ac:dyDescent="0.2">
      <c r="A34" s="54">
        <v>46174</v>
      </c>
      <c r="B34" s="55"/>
      <c r="C34" s="56"/>
      <c r="D34" s="56"/>
      <c r="E34" s="56"/>
      <c r="F34" s="56"/>
      <c r="G34" s="56"/>
      <c r="H34" s="56"/>
      <c r="I34" s="56"/>
      <c r="J34" s="56">
        <f>IF((C34+D34)&gt;$H$1,(C34+D34)-$H$1,0)</f>
        <v>0</v>
      </c>
      <c r="K34" s="57"/>
    </row>
    <row r="35" spans="1:12" x14ac:dyDescent="0.2">
      <c r="A35" s="50">
        <v>46204</v>
      </c>
      <c r="B35" s="51"/>
      <c r="C35" s="52"/>
      <c r="D35" s="52"/>
      <c r="E35" s="52"/>
      <c r="F35" s="52"/>
      <c r="G35" s="52"/>
      <c r="H35" s="52"/>
      <c r="I35" s="52"/>
      <c r="J35" s="52">
        <f>IF((C35+D35)&gt;$H$1,(C35+D35)-$H$1,0)</f>
        <v>0</v>
      </c>
      <c r="K35" s="53"/>
    </row>
    <row r="36" spans="1:12" x14ac:dyDescent="0.2">
      <c r="A36" s="54">
        <v>46235</v>
      </c>
      <c r="B36" s="55"/>
      <c r="C36" s="56"/>
      <c r="D36" s="56"/>
      <c r="E36" s="56"/>
      <c r="F36" s="56"/>
      <c r="G36" s="56"/>
      <c r="H36" s="56"/>
      <c r="I36" s="56"/>
      <c r="J36" s="56">
        <f>IF((C36+D36)&gt;$H$1,(C36+D36)-$H$1,0)</f>
        <v>0</v>
      </c>
      <c r="K36" s="57"/>
    </row>
    <row r="37" spans="1:12" x14ac:dyDescent="0.2">
      <c r="A37" s="50">
        <v>46266</v>
      </c>
      <c r="B37" s="51"/>
      <c r="C37" s="52"/>
      <c r="D37" s="52"/>
      <c r="E37" s="52"/>
      <c r="F37" s="52"/>
      <c r="G37" s="52"/>
      <c r="H37" s="52"/>
      <c r="I37" s="52"/>
      <c r="J37" s="52">
        <f>IF((C37+D37)&gt;$H$1,(C37+D37)-$H$1,0)</f>
        <v>0</v>
      </c>
      <c r="K37" s="53"/>
    </row>
    <row r="38" spans="1:12" x14ac:dyDescent="0.2">
      <c r="A38" s="54">
        <v>46296</v>
      </c>
      <c r="B38" s="55"/>
      <c r="C38" s="56"/>
      <c r="D38" s="56"/>
      <c r="E38" s="56"/>
      <c r="F38" s="56"/>
      <c r="G38" s="56"/>
      <c r="H38" s="56"/>
      <c r="I38" s="56"/>
      <c r="J38" s="56">
        <f>IF((C38+D38)&gt;$H$1,(C38+D38)-$H$1,0)</f>
        <v>0</v>
      </c>
      <c r="K38" s="57"/>
    </row>
    <row r="39" spans="1:12" x14ac:dyDescent="0.2">
      <c r="A39" s="50">
        <v>46327</v>
      </c>
      <c r="B39" s="51"/>
      <c r="C39" s="52"/>
      <c r="D39" s="52"/>
      <c r="E39" s="52"/>
      <c r="F39" s="52"/>
      <c r="G39" s="52"/>
      <c r="H39" s="52"/>
      <c r="I39" s="52"/>
      <c r="J39" s="52">
        <f>IF((C39+D39)&gt;$H$1,(C39+D39)-$H$1,0)</f>
        <v>0</v>
      </c>
      <c r="K39" s="53"/>
    </row>
    <row r="40" spans="1:12" ht="15.75" thickBot="1" x14ac:dyDescent="0.25">
      <c r="A40" s="58">
        <v>46357</v>
      </c>
      <c r="B40" s="59"/>
      <c r="C40" s="60"/>
      <c r="D40" s="60"/>
      <c r="E40" s="60"/>
      <c r="F40" s="60"/>
      <c r="G40" s="60"/>
      <c r="H40" s="60"/>
      <c r="I40" s="60"/>
      <c r="J40" s="60">
        <f>IF((C40+D40)&gt;$H$1,(C40+D40)-$H$1,0)</f>
        <v>0</v>
      </c>
      <c r="K40" s="61"/>
      <c r="L40" s="3">
        <f>SUM(B29:B40)-SUM(C29:C40)-SUM(D29:D40)-SUM(E29:E40)-SUM(F29:F40)-SUM(G29:G40)-SUM(H29:H40)+SUM(J29:J40)</f>
        <v>0</v>
      </c>
    </row>
    <row r="41" spans="1:12" x14ac:dyDescent="0.2">
      <c r="A41" s="2"/>
      <c r="B41" s="3">
        <f>SUM(B29:B40)</f>
        <v>0</v>
      </c>
      <c r="C41" s="5">
        <f t="shared" ref="C41" si="1">SUM(C29:C40)</f>
        <v>0</v>
      </c>
      <c r="D41" s="5">
        <f>SUM(D29:D40)</f>
        <v>0</v>
      </c>
      <c r="E41" s="5">
        <f t="shared" ref="E41:H41" si="2">SUM(E29:E40)</f>
        <v>0</v>
      </c>
      <c r="F41" s="5">
        <f t="shared" si="2"/>
        <v>0</v>
      </c>
      <c r="G41" s="5">
        <f t="shared" si="2"/>
        <v>0</v>
      </c>
      <c r="H41" s="5">
        <f t="shared" si="2"/>
        <v>0</v>
      </c>
      <c r="I41" s="5"/>
      <c r="J41" s="5">
        <f t="shared" ref="J41" si="3">SUM(J29:J40)</f>
        <v>0</v>
      </c>
      <c r="K41" s="5"/>
    </row>
    <row r="42" spans="1:12" x14ac:dyDescent="0.2">
      <c r="A42" s="2" t="s">
        <v>5</v>
      </c>
      <c r="B42" s="3">
        <f>B41-C41-D41-E41-F41-G41-H41+J41</f>
        <v>0</v>
      </c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2" t="s">
        <v>15</v>
      </c>
      <c r="B43" s="4">
        <f>B42/65000</f>
        <v>0</v>
      </c>
      <c r="C43" s="2"/>
      <c r="D43" s="2"/>
      <c r="E43" s="2"/>
      <c r="F43" s="2"/>
      <c r="G43" s="2"/>
      <c r="H43" s="2"/>
      <c r="I43" s="2"/>
      <c r="J43" s="2"/>
      <c r="K43" s="2"/>
    </row>
    <row r="44" spans="1:12" x14ac:dyDescent="0.2">
      <c r="A44" s="17" t="s">
        <v>94</v>
      </c>
      <c r="B44" s="18"/>
      <c r="C44" s="19" t="s">
        <v>101</v>
      </c>
      <c r="D44" s="20">
        <f ca="1">TODAY()</f>
        <v>46029</v>
      </c>
      <c r="E44" s="17"/>
      <c r="F44" s="17"/>
      <c r="G44" s="17"/>
      <c r="H44" s="17"/>
      <c r="I44" s="17"/>
      <c r="J44" s="17"/>
      <c r="K44" s="17"/>
    </row>
  </sheetData>
  <pageMargins left="0.7" right="0.7" top="0.75" bottom="0.75" header="0.3" footer="0.3"/>
  <pageSetup orientation="portrait" horizontalDpi="1200" verticalDpi="1200" r:id="rId1"/>
  <headerFooter>
    <oddHeader>&amp;L&amp;"Arial"&amp;10&amp;K000000&amp;1#</oddHeader>
    <oddFooter>&amp;L&amp;1#&amp;"Arial"&amp;10&amp;K000000Saudi Aramco: Company General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478C-0DA5-A14A-9066-9994BD719B53}">
  <sheetPr>
    <tabColor theme="9"/>
  </sheetPr>
  <dimension ref="A1:L31"/>
  <sheetViews>
    <sheetView topLeftCell="C1" workbookViewId="0">
      <pane ySplit="3" topLeftCell="C4" activePane="bottomLeft" state="frozen"/>
      <selection activeCell="L24" sqref="L24"/>
      <selection pane="bottomLeft" activeCell="I43" sqref="I43"/>
    </sheetView>
  </sheetViews>
  <sheetFormatPr defaultColWidth="8.609375" defaultRowHeight="15" x14ac:dyDescent="0.2"/>
  <cols>
    <col min="1" max="1" width="9.953125" customWidth="1"/>
    <col min="2" max="2" width="13.44921875" customWidth="1"/>
    <col min="3" max="4" width="13.1796875" bestFit="1" customWidth="1"/>
    <col min="5" max="7" width="12.23828125" bestFit="1" customWidth="1"/>
    <col min="8" max="8" width="13.1796875" bestFit="1" customWidth="1"/>
    <col min="9" max="9" width="23.9453125" customWidth="1"/>
    <col min="10" max="10" width="12.23828125" bestFit="1" customWidth="1"/>
    <col min="11" max="11" width="10.625" bestFit="1" customWidth="1"/>
    <col min="12" max="12" width="13.71875" bestFit="1" customWidth="1"/>
  </cols>
  <sheetData>
    <row r="1" spans="1:12" x14ac:dyDescent="0.2">
      <c r="A1" s="79" t="s">
        <v>0</v>
      </c>
      <c r="B1" s="80">
        <f>Master!B10</f>
        <v>1306</v>
      </c>
      <c r="C1" s="81" t="s">
        <v>38</v>
      </c>
      <c r="D1" s="80" t="str">
        <f>Master!J10</f>
        <v>P2-350</v>
      </c>
      <c r="E1" s="81" t="s">
        <v>2</v>
      </c>
      <c r="F1" s="80">
        <f>Master!N10</f>
        <v>1100872009</v>
      </c>
      <c r="G1" s="81" t="s">
        <v>27</v>
      </c>
      <c r="H1" s="82">
        <f>Master!O10</f>
        <v>25</v>
      </c>
      <c r="I1" s="83"/>
      <c r="J1" s="83"/>
      <c r="K1" s="65"/>
    </row>
    <row r="2" spans="1:12" ht="15.75" thickBot="1" x14ac:dyDescent="0.25">
      <c r="A2" s="105" t="s">
        <v>28</v>
      </c>
      <c r="B2" s="106" t="str">
        <f>Master!C10</f>
        <v>Fatme Ali Hamdan</v>
      </c>
      <c r="C2" s="107" t="s">
        <v>34</v>
      </c>
      <c r="D2" s="106" t="str">
        <f>Master!I10</f>
        <v>3443 8384</v>
      </c>
      <c r="E2" s="107" t="s">
        <v>29</v>
      </c>
      <c r="F2" s="108">
        <f>Master!K10</f>
        <v>45413</v>
      </c>
      <c r="G2" s="107" t="s">
        <v>30</v>
      </c>
      <c r="H2" s="108">
        <f>Master!L10</f>
        <v>46142</v>
      </c>
      <c r="I2" s="109"/>
      <c r="J2" s="109"/>
      <c r="K2" s="53"/>
    </row>
    <row r="3" spans="1:12" ht="15.75" thickBot="1" x14ac:dyDescent="0.25">
      <c r="A3" s="102" t="s">
        <v>31</v>
      </c>
      <c r="B3" s="103" t="s">
        <v>32</v>
      </c>
      <c r="C3" s="103" t="s">
        <v>2</v>
      </c>
      <c r="D3" s="103" t="s">
        <v>33</v>
      </c>
      <c r="E3" s="103" t="s">
        <v>3</v>
      </c>
      <c r="F3" s="103" t="s">
        <v>93</v>
      </c>
      <c r="G3" s="103" t="s">
        <v>98</v>
      </c>
      <c r="H3" s="103" t="s">
        <v>96</v>
      </c>
      <c r="I3" s="103" t="s">
        <v>97</v>
      </c>
      <c r="J3" s="103" t="s">
        <v>95</v>
      </c>
      <c r="K3" s="104" t="s">
        <v>169</v>
      </c>
    </row>
    <row r="4" spans="1:12" ht="15.75" thickBot="1" x14ac:dyDescent="0.25">
      <c r="A4" s="17" t="s">
        <v>94</v>
      </c>
      <c r="B4" s="18">
        <v>0</v>
      </c>
      <c r="C4" s="19" t="s">
        <v>101</v>
      </c>
      <c r="D4" s="20">
        <v>45291</v>
      </c>
      <c r="E4" s="17"/>
      <c r="F4" s="17"/>
      <c r="G4" s="17"/>
      <c r="H4" s="17"/>
      <c r="I4" s="17"/>
      <c r="J4" s="17"/>
      <c r="K4" s="17"/>
    </row>
    <row r="5" spans="1:12" x14ac:dyDescent="0.2">
      <c r="A5" s="62">
        <v>45292</v>
      </c>
      <c r="B5" s="66">
        <f>Master!$M$4</f>
        <v>500</v>
      </c>
      <c r="C5" s="67">
        <v>37.47</v>
      </c>
      <c r="D5" s="67">
        <v>1.3</v>
      </c>
      <c r="E5" s="67">
        <f>Master!$P$4</f>
        <v>6</v>
      </c>
      <c r="F5" s="67">
        <v>19.8</v>
      </c>
      <c r="G5" s="67"/>
      <c r="H5" s="67"/>
      <c r="I5" s="67"/>
      <c r="J5" s="67">
        <f>IF((C5+D5)&gt;$H$1,(C5+D5)-$H$1,0)</f>
        <v>13.769999999999996</v>
      </c>
      <c r="K5" s="68" t="s">
        <v>92</v>
      </c>
    </row>
    <row r="6" spans="1:12" x14ac:dyDescent="0.2">
      <c r="A6" s="54">
        <v>45323</v>
      </c>
      <c r="B6" s="55">
        <f>Master!$M$4</f>
        <v>500</v>
      </c>
      <c r="C6" s="56">
        <v>13.12</v>
      </c>
      <c r="D6" s="56">
        <v>0.82499999999999996</v>
      </c>
      <c r="E6" s="56">
        <f>Master!$P$4</f>
        <v>6</v>
      </c>
      <c r="F6" s="56">
        <v>19.8</v>
      </c>
      <c r="G6" s="56"/>
      <c r="H6" s="56"/>
      <c r="I6" s="56"/>
      <c r="J6" s="56">
        <f>IF((C6+D6)&gt;$H$1,(C6+D6)-$H$1,0)</f>
        <v>0</v>
      </c>
      <c r="K6" s="57"/>
    </row>
    <row r="7" spans="1:12" x14ac:dyDescent="0.2">
      <c r="A7" s="50">
        <v>45352</v>
      </c>
      <c r="B7" s="51">
        <f>Master!$M$4</f>
        <v>500</v>
      </c>
      <c r="C7" s="52">
        <v>8.92</v>
      </c>
      <c r="D7" s="52">
        <v>0</v>
      </c>
      <c r="E7" s="52">
        <f>Master!$P$4</f>
        <v>6</v>
      </c>
      <c r="F7" s="52">
        <v>19.8</v>
      </c>
      <c r="G7" s="52"/>
      <c r="H7" s="52"/>
      <c r="I7" s="52"/>
      <c r="J7" s="52">
        <f>IF((C7+D7)&gt;$H$1,(C7+D7)-$H$1,0)</f>
        <v>0</v>
      </c>
      <c r="K7" s="53"/>
    </row>
    <row r="8" spans="1:12" x14ac:dyDescent="0.2">
      <c r="A8" s="54">
        <v>45383</v>
      </c>
      <c r="B8" s="55">
        <f>Master!$M$4</f>
        <v>500</v>
      </c>
      <c r="C8" s="56">
        <v>5.62</v>
      </c>
      <c r="D8" s="56">
        <v>5.5250000000000004</v>
      </c>
      <c r="E8" s="56">
        <f>Master!$P$4</f>
        <v>6</v>
      </c>
      <c r="F8" s="56">
        <v>19.8</v>
      </c>
      <c r="G8" s="56"/>
      <c r="H8" s="56"/>
      <c r="I8" s="56"/>
      <c r="J8" s="56">
        <f>IF((C8+D8)&gt;$H$1,(C8+D8)-$H$1,0)</f>
        <v>0</v>
      </c>
      <c r="K8" s="57"/>
    </row>
    <row r="9" spans="1:12" x14ac:dyDescent="0.2">
      <c r="A9" s="50">
        <v>45413</v>
      </c>
      <c r="B9" s="51">
        <f>Master!$M$4</f>
        <v>500</v>
      </c>
      <c r="C9" s="52">
        <v>13.12</v>
      </c>
      <c r="D9" s="52">
        <v>9.4250000000000007</v>
      </c>
      <c r="E9" s="52">
        <f>Master!$P$4</f>
        <v>6</v>
      </c>
      <c r="F9" s="52">
        <v>19.8</v>
      </c>
      <c r="G9" s="52"/>
      <c r="H9" s="52"/>
      <c r="I9" s="52"/>
      <c r="J9" s="52">
        <f>IF((C9+D9)&gt;$H$1,(C9+D9)-$H$1,0)</f>
        <v>0</v>
      </c>
      <c r="K9" s="53"/>
    </row>
    <row r="10" spans="1:12" x14ac:dyDescent="0.2">
      <c r="A10" s="54">
        <v>45444</v>
      </c>
      <c r="B10" s="55">
        <f>Master!$M$4</f>
        <v>500</v>
      </c>
      <c r="C10" s="56">
        <v>11.99</v>
      </c>
      <c r="D10" s="56">
        <v>27.35</v>
      </c>
      <c r="E10" s="56">
        <f>Master!$P$4</f>
        <v>6</v>
      </c>
      <c r="F10" s="56">
        <v>19.8</v>
      </c>
      <c r="G10" s="56"/>
      <c r="H10" s="56"/>
      <c r="I10" s="56"/>
      <c r="J10" s="56">
        <f>IF((C10+D10)&gt;$H$1,(C10+D10)-$H$1,0)</f>
        <v>14.340000000000003</v>
      </c>
      <c r="K10" s="57" t="s">
        <v>92</v>
      </c>
    </row>
    <row r="11" spans="1:12" x14ac:dyDescent="0.2">
      <c r="A11" s="50">
        <v>45474</v>
      </c>
      <c r="B11" s="51">
        <f>Master!$M$4</f>
        <v>500</v>
      </c>
      <c r="C11" s="52">
        <v>14.01</v>
      </c>
      <c r="D11" s="52">
        <v>6.5250000000000004</v>
      </c>
      <c r="E11" s="52">
        <f>Master!$P$4</f>
        <v>6</v>
      </c>
      <c r="F11" s="52">
        <v>19.8</v>
      </c>
      <c r="G11" s="52"/>
      <c r="H11" s="52"/>
      <c r="I11" s="52"/>
      <c r="J11" s="52">
        <f>IF((C11+D11)&gt;$H$1,(C11+D11)-$H$1,0)</f>
        <v>0</v>
      </c>
      <c r="K11" s="53"/>
    </row>
    <row r="12" spans="1:12" x14ac:dyDescent="0.2">
      <c r="A12" s="54">
        <v>45505</v>
      </c>
      <c r="B12" s="55">
        <f>Master!$M$4</f>
        <v>500</v>
      </c>
      <c r="C12" s="56">
        <v>9.01</v>
      </c>
      <c r="D12" s="56">
        <v>23.574999999999999</v>
      </c>
      <c r="E12" s="56">
        <f>Master!$P$4</f>
        <v>6</v>
      </c>
      <c r="F12" s="56">
        <v>19.8</v>
      </c>
      <c r="G12" s="56"/>
      <c r="H12" s="56"/>
      <c r="I12" s="56"/>
      <c r="J12" s="56">
        <f>IF((C12+D12)&gt;$H$1,(C12+D12)-$H$1,0)</f>
        <v>7.5850000000000009</v>
      </c>
      <c r="K12" s="57" t="s">
        <v>92</v>
      </c>
    </row>
    <row r="13" spans="1:12" x14ac:dyDescent="0.2">
      <c r="A13" s="50">
        <v>45536</v>
      </c>
      <c r="B13" s="51">
        <f>Master!$M$4</f>
        <v>500</v>
      </c>
      <c r="C13" s="52">
        <v>16.07</v>
      </c>
      <c r="D13" s="52">
        <v>30.125</v>
      </c>
      <c r="E13" s="52">
        <f>Master!$P$4</f>
        <v>6</v>
      </c>
      <c r="F13" s="52">
        <v>19.8</v>
      </c>
      <c r="G13" s="52"/>
      <c r="H13" s="52"/>
      <c r="I13" s="52"/>
      <c r="J13" s="52">
        <f>IF((C13+D13)&gt;$H$1,(C13+D13)-$H$1,0)</f>
        <v>21.195</v>
      </c>
      <c r="K13" s="53" t="s">
        <v>92</v>
      </c>
    </row>
    <row r="14" spans="1:12" x14ac:dyDescent="0.2">
      <c r="A14" s="54">
        <v>45566</v>
      </c>
      <c r="B14" s="55">
        <f>Master!$M$4</f>
        <v>500</v>
      </c>
      <c r="C14" s="56">
        <v>12.45</v>
      </c>
      <c r="D14" s="56">
        <v>12.125</v>
      </c>
      <c r="E14" s="56">
        <v>14.5</v>
      </c>
      <c r="F14" s="56">
        <v>19.8</v>
      </c>
      <c r="G14" s="56"/>
      <c r="H14" s="56"/>
      <c r="I14" s="56"/>
      <c r="J14" s="56">
        <f>IF((C14+D14)&gt;$H$1,(C14+D14)-$H$1,0)</f>
        <v>0</v>
      </c>
      <c r="K14" s="57"/>
    </row>
    <row r="15" spans="1:12" x14ac:dyDescent="0.2">
      <c r="A15" s="50">
        <v>45597</v>
      </c>
      <c r="B15" s="51">
        <f>Master!$M$4</f>
        <v>500</v>
      </c>
      <c r="C15" s="52">
        <v>13.64</v>
      </c>
      <c r="D15" s="52">
        <v>5.2249999999999996</v>
      </c>
      <c r="E15" s="52">
        <v>14.5</v>
      </c>
      <c r="F15" s="52">
        <v>19.8</v>
      </c>
      <c r="G15" s="52"/>
      <c r="H15" s="52">
        <v>705.40800000000002</v>
      </c>
      <c r="I15" s="52" t="s">
        <v>116</v>
      </c>
      <c r="J15" s="52">
        <f>IF((C15+D15)&gt;$H$1,(C15+D15)-$H$1,0)</f>
        <v>0</v>
      </c>
      <c r="K15" s="53"/>
    </row>
    <row r="16" spans="1:12" ht="15.75" thickBot="1" x14ac:dyDescent="0.25">
      <c r="A16" s="58">
        <v>45627</v>
      </c>
      <c r="B16" s="59">
        <f>Master!$M$4</f>
        <v>500</v>
      </c>
      <c r="C16" s="60">
        <v>8.84</v>
      </c>
      <c r="D16" s="60">
        <v>0</v>
      </c>
      <c r="E16" s="60">
        <v>14.5</v>
      </c>
      <c r="F16" s="60">
        <v>19.8</v>
      </c>
      <c r="G16" s="60"/>
      <c r="H16" s="60"/>
      <c r="I16" s="60"/>
      <c r="J16" s="60">
        <f>IF((C16+D16)&gt;$H$1,(C16+D16)-$H$1,0)</f>
        <v>0</v>
      </c>
      <c r="K16" s="61"/>
      <c r="L16" s="3">
        <f>SUM(B5:B16)-SUM(C5:C16)-SUM(D5:D16)-SUM(E5:E16)-SUM(F5:F16)-SUM(G5:G16)-SUM(H5:H16)+SUM(J5:J16)</f>
        <v>4730.1219999999994</v>
      </c>
    </row>
    <row r="17" spans="1:12" x14ac:dyDescent="0.2">
      <c r="A17" s="50">
        <v>45658</v>
      </c>
      <c r="B17" s="69">
        <v>500</v>
      </c>
      <c r="C17" s="70">
        <v>6.66</v>
      </c>
      <c r="D17" s="70">
        <v>0</v>
      </c>
      <c r="E17" s="70">
        <v>14.5</v>
      </c>
      <c r="F17" s="70">
        <v>19.8</v>
      </c>
      <c r="G17" s="70"/>
      <c r="H17" s="70"/>
      <c r="I17" s="70"/>
      <c r="J17" s="70">
        <f>IF((C17+D17)&gt;$H$1,(C17+D17)-$H$1,0)</f>
        <v>0</v>
      </c>
      <c r="K17" s="71"/>
    </row>
    <row r="18" spans="1:12" x14ac:dyDescent="0.2">
      <c r="A18" s="54">
        <v>45689</v>
      </c>
      <c r="B18" s="55">
        <v>500</v>
      </c>
      <c r="C18" s="56">
        <v>12.95</v>
      </c>
      <c r="D18" s="56">
        <v>0</v>
      </c>
      <c r="E18" s="56">
        <v>14.5</v>
      </c>
      <c r="F18" s="56">
        <v>19.8</v>
      </c>
      <c r="G18" s="56"/>
      <c r="H18" s="56"/>
      <c r="I18" s="56"/>
      <c r="J18" s="56">
        <f>IF((C18+D18)&gt;$H$1,(C18+D18)-$H$1,0)</f>
        <v>0</v>
      </c>
      <c r="K18" s="57"/>
    </row>
    <row r="19" spans="1:12" x14ac:dyDescent="0.2">
      <c r="A19" s="50">
        <v>45717</v>
      </c>
      <c r="B19" s="51">
        <v>500</v>
      </c>
      <c r="C19" s="52">
        <v>11.55</v>
      </c>
      <c r="D19" s="52">
        <v>1.5</v>
      </c>
      <c r="E19" s="52">
        <v>14.5</v>
      </c>
      <c r="F19" s="52">
        <v>19.8</v>
      </c>
      <c r="G19" s="52"/>
      <c r="H19" s="52"/>
      <c r="I19" s="52"/>
      <c r="J19" s="52">
        <f>IF((C19+D19)&gt;$H$1,(C19+D19)-$H$1,0)</f>
        <v>0</v>
      </c>
      <c r="K19" s="53"/>
    </row>
    <row r="20" spans="1:12" x14ac:dyDescent="0.2">
      <c r="A20" s="54">
        <v>45748</v>
      </c>
      <c r="B20" s="55">
        <v>500</v>
      </c>
      <c r="C20" s="56">
        <v>9.1</v>
      </c>
      <c r="D20" s="56">
        <v>0</v>
      </c>
      <c r="E20" s="56">
        <v>14.5</v>
      </c>
      <c r="F20" s="56">
        <v>19.8</v>
      </c>
      <c r="G20" s="56"/>
      <c r="H20" s="56"/>
      <c r="I20" s="56"/>
      <c r="J20" s="56">
        <f>IF((C20+D20)&gt;$H$1,(C20+D20)-$H$1,0)</f>
        <v>0</v>
      </c>
      <c r="K20" s="57"/>
    </row>
    <row r="21" spans="1:12" x14ac:dyDescent="0.2">
      <c r="A21" s="50">
        <v>45778</v>
      </c>
      <c r="B21" s="51">
        <v>500</v>
      </c>
      <c r="C21" s="52">
        <v>16.53</v>
      </c>
      <c r="D21" s="52">
        <v>31.05</v>
      </c>
      <c r="E21" s="52">
        <v>14.5</v>
      </c>
      <c r="F21" s="52">
        <v>19.8</v>
      </c>
      <c r="G21" s="52"/>
      <c r="H21" s="52"/>
      <c r="I21" s="52"/>
      <c r="J21" s="52">
        <f>IF((C21+D21)&gt;$H$1,(C21+D21)-$H$1,0)</f>
        <v>22.58</v>
      </c>
      <c r="K21" s="53"/>
    </row>
    <row r="22" spans="1:12" x14ac:dyDescent="0.2">
      <c r="A22" s="54">
        <v>45809</v>
      </c>
      <c r="B22" s="55">
        <v>500</v>
      </c>
      <c r="C22" s="56">
        <v>11.18</v>
      </c>
      <c r="D22" s="56">
        <v>6.375</v>
      </c>
      <c r="E22" s="56">
        <v>14.5</v>
      </c>
      <c r="F22" s="56">
        <v>19.8</v>
      </c>
      <c r="G22" s="56"/>
      <c r="H22" s="56"/>
      <c r="I22" s="56"/>
      <c r="J22" s="56">
        <f>IF((C22+D22)&gt;$H$1,(C22+D22)-$H$1,0)</f>
        <v>0</v>
      </c>
      <c r="K22" s="57"/>
    </row>
    <row r="23" spans="1:12" x14ac:dyDescent="0.2">
      <c r="A23" s="50">
        <v>45839</v>
      </c>
      <c r="B23" s="51">
        <v>500</v>
      </c>
      <c r="C23" s="52">
        <v>11.93</v>
      </c>
      <c r="D23" s="52">
        <v>24.25</v>
      </c>
      <c r="E23" s="52">
        <v>14.5</v>
      </c>
      <c r="F23" s="52">
        <v>19.8</v>
      </c>
      <c r="G23" s="52"/>
      <c r="H23" s="52"/>
      <c r="I23" s="52"/>
      <c r="J23" s="52">
        <f>IF((C23+D23)&gt;$H$1,(C23+D23)-$H$1,0)</f>
        <v>11.18</v>
      </c>
      <c r="K23" s="53"/>
    </row>
    <row r="24" spans="1:12" x14ac:dyDescent="0.2">
      <c r="A24" s="54">
        <v>45870</v>
      </c>
      <c r="B24" s="55">
        <v>500</v>
      </c>
      <c r="C24" s="56">
        <v>15.73</v>
      </c>
      <c r="D24" s="56">
        <v>18.600000000000001</v>
      </c>
      <c r="E24" s="56">
        <v>14.5</v>
      </c>
      <c r="F24" s="56">
        <v>19.8</v>
      </c>
      <c r="G24" s="56"/>
      <c r="H24" s="56">
        <v>55</v>
      </c>
      <c r="I24" s="56" t="s">
        <v>155</v>
      </c>
      <c r="J24" s="56">
        <f>IF((C24+D24)&gt;$H$1,(C24+D24)-$H$1,0)</f>
        <v>9.3299999999999983</v>
      </c>
      <c r="K24" s="57"/>
    </row>
    <row r="25" spans="1:12" x14ac:dyDescent="0.2">
      <c r="A25" s="50">
        <v>45901</v>
      </c>
      <c r="B25" s="51">
        <v>500</v>
      </c>
      <c r="C25" s="52">
        <v>8.4600000000000009</v>
      </c>
      <c r="D25" s="52">
        <v>9.0500000000000007</v>
      </c>
      <c r="E25" s="52">
        <v>16.18</v>
      </c>
      <c r="F25" s="52">
        <v>19.8</v>
      </c>
      <c r="G25" s="52"/>
      <c r="H25" s="52"/>
      <c r="I25" s="52"/>
      <c r="J25" s="52">
        <f>IF((C25+D25)&gt;$H$1,(C25+D25)-$H$1,0)</f>
        <v>0</v>
      </c>
      <c r="K25" s="53"/>
    </row>
    <row r="26" spans="1:12" x14ac:dyDescent="0.2">
      <c r="A26" s="54">
        <v>45931</v>
      </c>
      <c r="B26" s="55">
        <v>500</v>
      </c>
      <c r="C26" s="56">
        <v>11.18</v>
      </c>
      <c r="D26" s="56">
        <v>8.93</v>
      </c>
      <c r="E26" s="56">
        <v>16.18</v>
      </c>
      <c r="F26" s="56">
        <v>19.8</v>
      </c>
      <c r="G26" s="56"/>
      <c r="H26" s="56"/>
      <c r="I26" s="56"/>
      <c r="J26" s="56">
        <f>IF((C26+D26)&gt;$H$1,(C26+D26)-$H$1,0)</f>
        <v>0</v>
      </c>
      <c r="K26" s="57"/>
    </row>
    <row r="27" spans="1:12" x14ac:dyDescent="0.2">
      <c r="A27" s="50">
        <v>45962</v>
      </c>
      <c r="B27" s="51">
        <v>500</v>
      </c>
      <c r="C27" s="52">
        <v>14.16</v>
      </c>
      <c r="D27" s="52">
        <v>3.2250000000000001</v>
      </c>
      <c r="E27" s="52">
        <v>16.18</v>
      </c>
      <c r="F27" s="52">
        <v>19.8</v>
      </c>
      <c r="G27" s="52"/>
      <c r="H27" s="52">
        <v>705.40800000000002</v>
      </c>
      <c r="I27" s="52" t="s">
        <v>116</v>
      </c>
      <c r="J27" s="52">
        <f>IF((C27+D27)&gt;$H$1,(C27+D27)-$H$1,0)</f>
        <v>0</v>
      </c>
      <c r="K27" s="53"/>
    </row>
    <row r="28" spans="1:12" ht="15.75" thickBot="1" x14ac:dyDescent="0.25">
      <c r="A28" s="58">
        <v>45992</v>
      </c>
      <c r="B28" s="59">
        <v>500</v>
      </c>
      <c r="C28" s="60">
        <v>9.85</v>
      </c>
      <c r="D28" s="60">
        <v>0</v>
      </c>
      <c r="E28" s="60">
        <v>16.18</v>
      </c>
      <c r="F28" s="60">
        <v>19.8</v>
      </c>
      <c r="G28" s="60"/>
      <c r="H28" s="60"/>
      <c r="I28" s="60"/>
      <c r="J28" s="60">
        <f>IF((C28+D28)&gt;$H$1,(C28+D28)-$H$1,0)</f>
        <v>0</v>
      </c>
      <c r="K28" s="61"/>
      <c r="L28" s="3">
        <f>SUM(B17:B28)-SUM(C17:C28)-SUM(D17:D28)-SUM(E17:E28)-SUM(F17:F28)-SUM(G17:G28)-SUM(H17:H28)+SUM(J17:J28)</f>
        <v>4622.1019999999999</v>
      </c>
    </row>
    <row r="29" spans="1:12" x14ac:dyDescent="0.2">
      <c r="A29" s="2"/>
      <c r="B29" s="3">
        <f>SUM(B17:B28)</f>
        <v>6000</v>
      </c>
      <c r="C29" s="5">
        <f t="shared" ref="C29" si="0">SUM(C17:C28)</f>
        <v>139.28</v>
      </c>
      <c r="D29" s="5">
        <f>SUM(D17:D28)</f>
        <v>102.97999999999999</v>
      </c>
      <c r="E29" s="5">
        <f t="shared" ref="E29:H29" si="1">SUM(E17:E28)</f>
        <v>180.72000000000003</v>
      </c>
      <c r="F29" s="5">
        <f t="shared" si="1"/>
        <v>237.60000000000005</v>
      </c>
      <c r="G29" s="5">
        <f t="shared" si="1"/>
        <v>0</v>
      </c>
      <c r="H29" s="5">
        <f t="shared" si="1"/>
        <v>760.40800000000002</v>
      </c>
      <c r="I29" s="5"/>
      <c r="J29" s="5">
        <f>SUM(J5:J28)</f>
        <v>99.98</v>
      </c>
      <c r="K29" s="5"/>
    </row>
    <row r="30" spans="1:12" x14ac:dyDescent="0.2">
      <c r="A30" s="2" t="s">
        <v>5</v>
      </c>
      <c r="B30" s="3">
        <f>B29-C29-D29-E29-F29-G29-H29+J29</f>
        <v>4678.9919999999993</v>
      </c>
      <c r="C30" s="3"/>
      <c r="D30" s="3"/>
      <c r="E30" s="3"/>
      <c r="F30" s="3"/>
      <c r="G30" s="3"/>
      <c r="H30" s="3"/>
      <c r="I30" s="3"/>
      <c r="J30" s="3"/>
      <c r="K30" s="3"/>
    </row>
    <row r="31" spans="1:12" x14ac:dyDescent="0.2">
      <c r="A31" s="17" t="s">
        <v>94</v>
      </c>
      <c r="B31" s="18">
        <f>B4+B30</f>
        <v>4678.9919999999993</v>
      </c>
      <c r="C31" s="19" t="s">
        <v>101</v>
      </c>
      <c r="D31" s="20">
        <f ca="1">TODAY()</f>
        <v>46029</v>
      </c>
      <c r="E31" s="17"/>
      <c r="F31" s="17"/>
      <c r="G31" s="17"/>
      <c r="H31" s="17"/>
      <c r="I31" s="17"/>
      <c r="J31" s="17"/>
      <c r="K31" s="17"/>
    </row>
  </sheetData>
  <pageMargins left="0.7" right="0.7" top="0.75" bottom="0.75" header="0.3" footer="0.3"/>
  <pageSetup orientation="portrait" horizontalDpi="1200" verticalDpi="1200" r:id="rId1"/>
  <headerFooter>
    <oddHeader>&amp;L&amp;"Arial"&amp;10&amp;K000000&amp;1#</oddHeader>
    <oddFooter>&amp;L&amp;1#&amp;"Arial"&amp;10&amp;K000000Saudi Aramco: Company General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3662-E453-4CF9-8042-3B56AF72A14E}">
  <sheetPr>
    <tabColor theme="9"/>
  </sheetPr>
  <dimension ref="A1:L23"/>
  <sheetViews>
    <sheetView workbookViewId="0">
      <pane ySplit="3" topLeftCell="A4" activePane="bottomLeft" state="frozen"/>
      <selection activeCell="L24" sqref="L24"/>
      <selection pane="bottomLeft" activeCell="I9" sqref="I9"/>
    </sheetView>
  </sheetViews>
  <sheetFormatPr defaultRowHeight="15" x14ac:dyDescent="0.2"/>
  <cols>
    <col min="1" max="1" width="9.953125" customWidth="1"/>
    <col min="2" max="2" width="13.44921875" customWidth="1"/>
    <col min="3" max="4" width="13.1796875" bestFit="1" customWidth="1"/>
    <col min="5" max="7" width="12.23828125" bestFit="1" customWidth="1"/>
    <col min="8" max="8" width="13.1796875" bestFit="1" customWidth="1"/>
    <col min="9" max="9" width="23.9453125" customWidth="1"/>
    <col min="10" max="10" width="12.23828125" bestFit="1" customWidth="1"/>
    <col min="11" max="11" width="10.625" bestFit="1" customWidth="1"/>
    <col min="12" max="12" width="13.71875" bestFit="1" customWidth="1"/>
  </cols>
  <sheetData>
    <row r="1" spans="1:12" x14ac:dyDescent="0.2">
      <c r="A1" s="79" t="s">
        <v>0</v>
      </c>
      <c r="B1" s="80">
        <f>Master!B10</f>
        <v>1306</v>
      </c>
      <c r="C1" s="81" t="s">
        <v>38</v>
      </c>
      <c r="D1" s="80" t="str">
        <f>Master!J10</f>
        <v>P2-350</v>
      </c>
      <c r="E1" s="81" t="s">
        <v>2</v>
      </c>
      <c r="F1" s="80">
        <f>Master!N10</f>
        <v>1100872009</v>
      </c>
      <c r="G1" s="81" t="s">
        <v>27</v>
      </c>
      <c r="H1" s="82">
        <f>Master!O10</f>
        <v>25</v>
      </c>
      <c r="I1" s="83"/>
      <c r="J1" s="83"/>
      <c r="K1" s="65"/>
    </row>
    <row r="2" spans="1:12" ht="15.75" thickBot="1" x14ac:dyDescent="0.25">
      <c r="A2" s="84" t="s">
        <v>28</v>
      </c>
      <c r="B2" s="85" t="str">
        <f>Master!C10</f>
        <v>Fatme Ali Hamdan</v>
      </c>
      <c r="C2" s="86" t="s">
        <v>34</v>
      </c>
      <c r="D2" s="85" t="str">
        <f>Master!I10</f>
        <v>3443 8384</v>
      </c>
      <c r="E2" s="86" t="s">
        <v>29</v>
      </c>
      <c r="F2" s="87">
        <f>Master!K10</f>
        <v>45413</v>
      </c>
      <c r="G2" s="86" t="s">
        <v>30</v>
      </c>
      <c r="H2" s="87">
        <f>Master!L10</f>
        <v>46142</v>
      </c>
      <c r="I2" s="88"/>
      <c r="J2" s="88"/>
      <c r="K2" s="89"/>
    </row>
    <row r="3" spans="1:12" x14ac:dyDescent="0.2">
      <c r="A3" s="14" t="s">
        <v>31</v>
      </c>
      <c r="B3" s="14" t="s">
        <v>32</v>
      </c>
      <c r="C3" s="14" t="s">
        <v>2</v>
      </c>
      <c r="D3" s="14" t="s">
        <v>33</v>
      </c>
      <c r="E3" s="14" t="s">
        <v>3</v>
      </c>
      <c r="F3" s="14" t="s">
        <v>93</v>
      </c>
      <c r="G3" s="14" t="s">
        <v>98</v>
      </c>
      <c r="H3" s="14" t="s">
        <v>96</v>
      </c>
      <c r="I3" s="14" t="s">
        <v>97</v>
      </c>
      <c r="J3" s="14" t="s">
        <v>95</v>
      </c>
      <c r="K3" s="14" t="s">
        <v>103</v>
      </c>
    </row>
    <row r="4" spans="1:12" x14ac:dyDescent="0.2">
      <c r="A4" s="17" t="s">
        <v>94</v>
      </c>
      <c r="B4" s="18">
        <v>0</v>
      </c>
      <c r="C4" s="19" t="s">
        <v>101</v>
      </c>
      <c r="D4" s="20">
        <v>45291</v>
      </c>
      <c r="E4" s="17"/>
      <c r="F4" s="17"/>
      <c r="G4" s="17"/>
      <c r="H4" s="17"/>
      <c r="I4" s="17"/>
      <c r="J4" s="17"/>
      <c r="K4" s="17"/>
    </row>
    <row r="5" spans="1:12" x14ac:dyDescent="0.2">
      <c r="A5" s="50">
        <v>45901</v>
      </c>
      <c r="B5" s="51">
        <v>500</v>
      </c>
      <c r="C5" s="52">
        <v>8.4600000000000009</v>
      </c>
      <c r="D5" s="52">
        <v>9.0500000000000007</v>
      </c>
      <c r="E5" s="52">
        <v>16.18</v>
      </c>
      <c r="F5" s="52">
        <v>19.8</v>
      </c>
      <c r="G5" s="52"/>
      <c r="H5" s="52">
        <v>-45</v>
      </c>
      <c r="I5" s="52" t="s">
        <v>163</v>
      </c>
      <c r="J5" s="52">
        <f>IF((C5+D5)&gt;$H$1,(C5+D5)-$H$1,0)</f>
        <v>0</v>
      </c>
      <c r="K5" s="53"/>
    </row>
    <row r="6" spans="1:12" x14ac:dyDescent="0.2">
      <c r="A6" s="54">
        <v>45931</v>
      </c>
      <c r="B6" s="55">
        <v>500</v>
      </c>
      <c r="C6" s="56">
        <v>11.18</v>
      </c>
      <c r="D6" s="56">
        <v>8.93</v>
      </c>
      <c r="E6" s="56">
        <v>16.18</v>
      </c>
      <c r="F6" s="56">
        <v>19.8</v>
      </c>
      <c r="G6" s="56"/>
      <c r="H6" s="56">
        <v>316</v>
      </c>
      <c r="I6" s="56" t="s">
        <v>160</v>
      </c>
      <c r="J6" s="56">
        <f>IF((C6+D6)&gt;$H$1,(C6+D6)-$H$1,0)</f>
        <v>0</v>
      </c>
      <c r="K6" s="57"/>
    </row>
    <row r="7" spans="1:12" x14ac:dyDescent="0.2">
      <c r="A7" s="50">
        <v>45962</v>
      </c>
      <c r="B7" s="51">
        <v>500</v>
      </c>
      <c r="C7" s="52">
        <v>14.16</v>
      </c>
      <c r="D7" s="52">
        <v>3.2250000000000001</v>
      </c>
      <c r="E7" s="52">
        <v>16.18</v>
      </c>
      <c r="F7" s="52">
        <v>19.8</v>
      </c>
      <c r="G7" s="52"/>
      <c r="H7" s="52">
        <v>705.40800000000002</v>
      </c>
      <c r="I7" s="52" t="s">
        <v>116</v>
      </c>
      <c r="J7" s="52">
        <f>IF((C7+D7)&gt;$H$1,(C7+D7)-$H$1,0)</f>
        <v>0</v>
      </c>
      <c r="K7" s="53"/>
    </row>
    <row r="8" spans="1:12" ht="15.75" thickBot="1" x14ac:dyDescent="0.25">
      <c r="A8" s="58">
        <v>45992</v>
      </c>
      <c r="B8" s="59">
        <v>500</v>
      </c>
      <c r="C8" s="60">
        <v>9.85</v>
      </c>
      <c r="D8" s="60">
        <v>0</v>
      </c>
      <c r="E8" s="60">
        <v>16.18</v>
      </c>
      <c r="F8" s="60">
        <v>19.8</v>
      </c>
      <c r="G8" s="60"/>
      <c r="H8" s="60"/>
      <c r="I8" s="60"/>
      <c r="J8" s="60">
        <f>IF((C8+D8)&gt;$H$1,(C8+D8)-$H$1,0)</f>
        <v>0</v>
      </c>
      <c r="K8" s="61"/>
      <c r="L8" s="3">
        <f>SUM(B5:B8)-SUM(C5:C8)-SUM(D5:D8)-SUM(E5:E8)-SUM(F5:F8)-SUM(G5:G8)-SUM(H5:H8)+SUM(J5:J8)</f>
        <v>814.81699999999989</v>
      </c>
    </row>
    <row r="9" spans="1:12" x14ac:dyDescent="0.2">
      <c r="A9" s="50">
        <v>46023</v>
      </c>
      <c r="B9" s="69">
        <v>500</v>
      </c>
      <c r="C9" s="70"/>
      <c r="D9" s="70"/>
      <c r="E9" s="70">
        <v>16.18</v>
      </c>
      <c r="F9" s="70">
        <v>19.8</v>
      </c>
      <c r="G9" s="70"/>
      <c r="H9" s="70"/>
      <c r="I9" s="70"/>
      <c r="J9" s="70">
        <f>IF((C9+D9)&gt;$H$1,(C9+D9)-$H$1,0)</f>
        <v>0</v>
      </c>
      <c r="K9" s="71"/>
    </row>
    <row r="10" spans="1:12" x14ac:dyDescent="0.2">
      <c r="A10" s="54">
        <v>46054</v>
      </c>
      <c r="B10" s="55"/>
      <c r="C10" s="56"/>
      <c r="D10" s="56"/>
      <c r="E10" s="56"/>
      <c r="F10" s="56"/>
      <c r="G10" s="56"/>
      <c r="H10" s="56"/>
      <c r="I10" s="56"/>
      <c r="J10" s="56">
        <f>IF((C10+D10)&gt;$H$1,(C10+D10)-$H$1,0)</f>
        <v>0</v>
      </c>
      <c r="K10" s="57"/>
    </row>
    <row r="11" spans="1:12" x14ac:dyDescent="0.2">
      <c r="A11" s="50">
        <v>46082</v>
      </c>
      <c r="B11" s="51"/>
      <c r="C11" s="52"/>
      <c r="D11" s="52"/>
      <c r="E11" s="52"/>
      <c r="F11" s="52"/>
      <c r="G11" s="52"/>
      <c r="H11" s="52"/>
      <c r="I11" s="52"/>
      <c r="J11" s="52">
        <f>IF((C11+D11)&gt;$H$1,(C11+D11)-$H$1,0)</f>
        <v>0</v>
      </c>
      <c r="K11" s="53"/>
    </row>
    <row r="12" spans="1:12" x14ac:dyDescent="0.2">
      <c r="A12" s="54">
        <v>46113</v>
      </c>
      <c r="B12" s="55"/>
      <c r="C12" s="56"/>
      <c r="D12" s="56"/>
      <c r="E12" s="56"/>
      <c r="F12" s="56"/>
      <c r="G12" s="56"/>
      <c r="H12" s="56"/>
      <c r="I12" s="56"/>
      <c r="J12" s="56">
        <f>IF((C12+D12)&gt;$H$1,(C12+D12)-$H$1,0)</f>
        <v>0</v>
      </c>
      <c r="K12" s="57"/>
    </row>
    <row r="13" spans="1:12" x14ac:dyDescent="0.2">
      <c r="A13" s="50">
        <v>46143</v>
      </c>
      <c r="B13" s="51"/>
      <c r="C13" s="52"/>
      <c r="D13" s="52"/>
      <c r="E13" s="52"/>
      <c r="F13" s="52"/>
      <c r="G13" s="52"/>
      <c r="H13" s="52"/>
      <c r="I13" s="52"/>
      <c r="J13" s="52">
        <f>IF((C13+D13)&gt;$H$1,(C13+D13)-$H$1,0)</f>
        <v>0</v>
      </c>
      <c r="K13" s="53"/>
    </row>
    <row r="14" spans="1:12" x14ac:dyDescent="0.2">
      <c r="A14" s="54">
        <v>46174</v>
      </c>
      <c r="B14" s="55"/>
      <c r="C14" s="56"/>
      <c r="D14" s="56"/>
      <c r="E14" s="56"/>
      <c r="F14" s="56"/>
      <c r="G14" s="56"/>
      <c r="H14" s="56"/>
      <c r="I14" s="56"/>
      <c r="J14" s="56">
        <f>IF((C14+D14)&gt;$H$1,(C14+D14)-$H$1,0)</f>
        <v>0</v>
      </c>
      <c r="K14" s="57"/>
    </row>
    <row r="15" spans="1:12" x14ac:dyDescent="0.2">
      <c r="A15" s="50">
        <v>46204</v>
      </c>
      <c r="B15" s="51"/>
      <c r="C15" s="52"/>
      <c r="D15" s="52"/>
      <c r="E15" s="52"/>
      <c r="F15" s="52"/>
      <c r="G15" s="52"/>
      <c r="H15" s="52"/>
      <c r="I15" s="52"/>
      <c r="J15" s="52">
        <f>IF((C15+D15)&gt;$H$1,(C15+D15)-$H$1,0)</f>
        <v>0</v>
      </c>
      <c r="K15" s="53"/>
    </row>
    <row r="16" spans="1:12" x14ac:dyDescent="0.2">
      <c r="A16" s="54">
        <v>46235</v>
      </c>
      <c r="B16" s="55"/>
      <c r="C16" s="56"/>
      <c r="D16" s="56"/>
      <c r="E16" s="56"/>
      <c r="F16" s="56"/>
      <c r="G16" s="56"/>
      <c r="H16" s="56"/>
      <c r="I16" s="56"/>
      <c r="J16" s="56">
        <f>IF((C16+D16)&gt;$H$1,(C16+D16)-$H$1,0)</f>
        <v>0</v>
      </c>
      <c r="K16" s="57"/>
    </row>
    <row r="17" spans="1:12" x14ac:dyDescent="0.2">
      <c r="A17" s="50">
        <v>46266</v>
      </c>
      <c r="B17" s="51"/>
      <c r="C17" s="52"/>
      <c r="D17" s="52"/>
      <c r="E17" s="52"/>
      <c r="F17" s="52"/>
      <c r="G17" s="52"/>
      <c r="H17" s="52"/>
      <c r="I17" s="52"/>
      <c r="J17" s="52">
        <f>IF((C17+D17)&gt;$H$1,(C17+D17)-$H$1,0)</f>
        <v>0</v>
      </c>
      <c r="K17" s="53"/>
    </row>
    <row r="18" spans="1:12" x14ac:dyDescent="0.2">
      <c r="A18" s="54">
        <v>46296</v>
      </c>
      <c r="B18" s="55"/>
      <c r="C18" s="56"/>
      <c r="D18" s="56"/>
      <c r="E18" s="56"/>
      <c r="F18" s="56"/>
      <c r="G18" s="56"/>
      <c r="H18" s="56"/>
      <c r="I18" s="56"/>
      <c r="J18" s="56">
        <f>IF((C18+D18)&gt;$H$1,(C18+D18)-$H$1,0)</f>
        <v>0</v>
      </c>
      <c r="K18" s="57"/>
    </row>
    <row r="19" spans="1:12" x14ac:dyDescent="0.2">
      <c r="A19" s="50">
        <v>46327</v>
      </c>
      <c r="B19" s="51"/>
      <c r="C19" s="52"/>
      <c r="D19" s="52"/>
      <c r="E19" s="52"/>
      <c r="F19" s="52"/>
      <c r="G19" s="52"/>
      <c r="H19" s="52"/>
      <c r="I19" s="52"/>
      <c r="J19" s="52">
        <f>IF((C19+D19)&gt;$H$1,(C19+D19)-$H$1,0)</f>
        <v>0</v>
      </c>
      <c r="K19" s="53"/>
    </row>
    <row r="20" spans="1:12" ht="15.75" thickBot="1" x14ac:dyDescent="0.25">
      <c r="A20" s="58">
        <v>46357</v>
      </c>
      <c r="B20" s="59"/>
      <c r="C20" s="60"/>
      <c r="D20" s="60"/>
      <c r="E20" s="60"/>
      <c r="F20" s="60"/>
      <c r="G20" s="60"/>
      <c r="H20" s="60"/>
      <c r="I20" s="60"/>
      <c r="J20" s="60">
        <f>IF((C20+D20)&gt;$H$1,(C20+D20)-$H$1,0)</f>
        <v>0</v>
      </c>
      <c r="K20" s="61"/>
      <c r="L20" s="3">
        <f>SUM(B9:B20)-SUM(C9:C20)-SUM(D9:D20)-SUM(E9:E20)-SUM(F9:F20)-SUM(G9:G20)-SUM(H9:H20)+SUM(J9:J20)</f>
        <v>464.02</v>
      </c>
    </row>
    <row r="21" spans="1:12" x14ac:dyDescent="0.2">
      <c r="A21" s="2"/>
      <c r="B21" s="3">
        <f>SUM(B5:B8)</f>
        <v>2000</v>
      </c>
      <c r="C21" s="5">
        <f>SUM(C5:C8)</f>
        <v>43.65</v>
      </c>
      <c r="D21" s="5">
        <f>SUM(D5:D8)</f>
        <v>21.205000000000002</v>
      </c>
      <c r="E21" s="5">
        <f>SUM(E5:E8)</f>
        <v>64.72</v>
      </c>
      <c r="F21" s="5">
        <f>SUM(F5:F8)</f>
        <v>79.2</v>
      </c>
      <c r="G21" s="5">
        <f>SUM(G5:G8)</f>
        <v>0</v>
      </c>
      <c r="H21" s="5">
        <f>SUM(H5:H8)</f>
        <v>976.40800000000002</v>
      </c>
      <c r="I21" s="5"/>
      <c r="J21" s="5">
        <f>SUM(J5:J8)</f>
        <v>0</v>
      </c>
      <c r="K21" s="5"/>
    </row>
    <row r="22" spans="1:12" x14ac:dyDescent="0.2">
      <c r="A22" s="2" t="s">
        <v>5</v>
      </c>
      <c r="B22" s="3">
        <f>B21-C21-D21-E21-F21-G21-H21+J21</f>
        <v>814.81699999999989</v>
      </c>
      <c r="C22" s="3"/>
      <c r="D22" s="3"/>
      <c r="E22" s="3"/>
      <c r="F22" s="3"/>
      <c r="G22" s="3"/>
      <c r="H22" s="3"/>
      <c r="I22" s="3"/>
      <c r="J22" s="3"/>
      <c r="K22" s="3"/>
    </row>
    <row r="23" spans="1:12" x14ac:dyDescent="0.2">
      <c r="A23" s="17" t="s">
        <v>94</v>
      </c>
      <c r="B23" s="18">
        <f>B4+B22</f>
        <v>814.81699999999989</v>
      </c>
      <c r="C23" s="19" t="s">
        <v>101</v>
      </c>
      <c r="D23" s="20">
        <f ca="1">TODAY()</f>
        <v>46029</v>
      </c>
      <c r="E23" s="17"/>
      <c r="F23" s="17"/>
      <c r="G23" s="17"/>
      <c r="H23" s="17"/>
      <c r="I23" s="17"/>
      <c r="J23" s="17"/>
      <c r="K23" s="17"/>
    </row>
  </sheetData>
  <pageMargins left="0.7" right="0.7" top="0.75" bottom="0.75" header="0.3" footer="0.3"/>
  <pageSetup orientation="portrait" horizontalDpi="1200" verticalDpi="1200" r:id="rId1"/>
  <headerFooter>
    <oddHeader>&amp;L&amp;"Arial"&amp;10&amp;K000000&amp;1#</oddHeader>
    <oddFooter>&amp;L&amp;1#&amp;"Arial"&amp;10&amp;K000000Saudi Aramco: Company General Use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66E3-F99E-0544-9B1C-D94FBF04C905}">
  <sheetPr>
    <tabColor theme="9"/>
  </sheetPr>
  <dimension ref="A1:L44"/>
  <sheetViews>
    <sheetView topLeftCell="D1" workbookViewId="0">
      <pane ySplit="3" topLeftCell="D4" activePane="bottomLeft" state="frozen"/>
      <selection activeCell="L23" sqref="L23"/>
      <selection pane="bottomLeft" activeCell="O19" sqref="O19"/>
    </sheetView>
  </sheetViews>
  <sheetFormatPr defaultColWidth="8.609375" defaultRowHeight="15" x14ac:dyDescent="0.2"/>
  <cols>
    <col min="1" max="1" width="9.953125" customWidth="1"/>
    <col min="2" max="2" width="14.66015625" bestFit="1" customWidth="1"/>
    <col min="3" max="5" width="12.23828125" bestFit="1" customWidth="1"/>
    <col min="6" max="6" width="13.44921875" bestFit="1" customWidth="1"/>
    <col min="7" max="8" width="13.1796875" bestFit="1" customWidth="1"/>
    <col min="9" max="9" width="18.5625" customWidth="1"/>
    <col min="10" max="10" width="12.23828125" bestFit="1" customWidth="1"/>
    <col min="11" max="11" width="10.625" bestFit="1" customWidth="1"/>
    <col min="12" max="12" width="14.390625" bestFit="1" customWidth="1"/>
  </cols>
  <sheetData>
    <row r="1" spans="1:12" x14ac:dyDescent="0.2">
      <c r="A1" s="79" t="s">
        <v>0</v>
      </c>
      <c r="B1" s="80">
        <f>Master!B11</f>
        <v>1405</v>
      </c>
      <c r="C1" s="81" t="s">
        <v>38</v>
      </c>
      <c r="D1" s="80" t="str">
        <f>Master!J12</f>
        <v>P2-329</v>
      </c>
      <c r="E1" s="81" t="s">
        <v>2</v>
      </c>
      <c r="F1" s="80">
        <f>Master!N11</f>
        <v>1101561510</v>
      </c>
      <c r="G1" s="81" t="s">
        <v>27</v>
      </c>
      <c r="H1" s="82">
        <f>Master!O11</f>
        <v>25</v>
      </c>
      <c r="I1" s="83"/>
      <c r="J1" s="83"/>
      <c r="K1" s="65"/>
    </row>
    <row r="2" spans="1:12" ht="15.75" thickBot="1" x14ac:dyDescent="0.25">
      <c r="A2" s="84" t="s">
        <v>28</v>
      </c>
      <c r="B2" s="85" t="str">
        <f>Master!C11</f>
        <v>Peter Alan</v>
      </c>
      <c r="C2" s="86" t="s">
        <v>34</v>
      </c>
      <c r="D2" s="85">
        <f>Master!I11</f>
        <v>509666527</v>
      </c>
      <c r="E2" s="86" t="s">
        <v>29</v>
      </c>
      <c r="F2" s="87">
        <f>Master!K11</f>
        <v>45566</v>
      </c>
      <c r="G2" s="86" t="s">
        <v>30</v>
      </c>
      <c r="H2" s="87">
        <f>Master!L11</f>
        <v>46295</v>
      </c>
      <c r="I2" s="88"/>
      <c r="J2" s="88"/>
      <c r="K2" s="89"/>
    </row>
    <row r="3" spans="1:12" x14ac:dyDescent="0.2">
      <c r="A3" s="14" t="s">
        <v>31</v>
      </c>
      <c r="B3" s="14" t="s">
        <v>32</v>
      </c>
      <c r="C3" s="14" t="s">
        <v>2</v>
      </c>
      <c r="D3" s="14" t="s">
        <v>33</v>
      </c>
      <c r="E3" s="14" t="s">
        <v>3</v>
      </c>
      <c r="F3" s="14" t="s">
        <v>93</v>
      </c>
      <c r="G3" s="14" t="s">
        <v>98</v>
      </c>
      <c r="H3" s="14" t="s">
        <v>96</v>
      </c>
      <c r="I3" s="14" t="s">
        <v>97</v>
      </c>
      <c r="J3" s="14" t="s">
        <v>95</v>
      </c>
      <c r="K3" s="14" t="s">
        <v>103</v>
      </c>
    </row>
    <row r="4" spans="1:12" x14ac:dyDescent="0.2">
      <c r="A4" s="17" t="s">
        <v>94</v>
      </c>
      <c r="B4" s="18">
        <v>0</v>
      </c>
      <c r="C4" s="19" t="s">
        <v>101</v>
      </c>
      <c r="D4" s="20">
        <v>45291</v>
      </c>
      <c r="E4" s="17"/>
      <c r="F4" s="17"/>
      <c r="G4" s="17"/>
      <c r="H4" s="17"/>
      <c r="I4" s="17"/>
      <c r="J4" s="17"/>
      <c r="K4" s="17"/>
    </row>
    <row r="5" spans="1:12" x14ac:dyDescent="0.2">
      <c r="A5" s="12">
        <v>45292</v>
      </c>
      <c r="B5" s="22"/>
      <c r="C5" s="22"/>
      <c r="D5" s="22"/>
      <c r="E5" s="22"/>
      <c r="F5" s="22"/>
      <c r="G5" s="22"/>
      <c r="H5" s="22"/>
      <c r="I5" s="22"/>
      <c r="J5" s="22">
        <f>IF((D5+E5)&gt;$H$1,(D5+E5)-$H$1,0)</f>
        <v>0</v>
      </c>
      <c r="K5" s="23"/>
    </row>
    <row r="6" spans="1:12" x14ac:dyDescent="0.2">
      <c r="A6" s="13">
        <v>45323</v>
      </c>
      <c r="B6" s="10"/>
      <c r="C6" s="10"/>
      <c r="D6" s="10"/>
      <c r="E6" s="10"/>
      <c r="F6" s="10"/>
      <c r="G6" s="10"/>
      <c r="H6" s="10"/>
      <c r="I6" s="10"/>
      <c r="J6" s="10">
        <f>IF((D6+E6)&gt;$H$1,(D6+E6)-$H$1,0)</f>
        <v>0</v>
      </c>
      <c r="K6" s="11"/>
    </row>
    <row r="7" spans="1:12" x14ac:dyDescent="0.2">
      <c r="A7" s="12">
        <v>45352</v>
      </c>
      <c r="B7" s="8"/>
      <c r="C7" s="8"/>
      <c r="D7" s="8"/>
      <c r="E7" s="8"/>
      <c r="F7" s="8"/>
      <c r="G7" s="8"/>
      <c r="H7" s="8"/>
      <c r="I7" s="8"/>
      <c r="J7" s="8">
        <f>IF((D7+E7)&gt;$H$1,(D7+E7)-$H$1,0)</f>
        <v>0</v>
      </c>
      <c r="K7" s="6"/>
    </row>
    <row r="8" spans="1:12" x14ac:dyDescent="0.2">
      <c r="A8" s="13">
        <v>45383</v>
      </c>
      <c r="B8" s="10"/>
      <c r="C8" s="10"/>
      <c r="D8" s="10"/>
      <c r="E8" s="10"/>
      <c r="F8" s="10"/>
      <c r="G8" s="10"/>
      <c r="H8" s="10"/>
      <c r="I8" s="10"/>
      <c r="J8" s="10">
        <f>IF((D8+E8)&gt;$H$1,(D8+E8)-$H$1,0)</f>
        <v>0</v>
      </c>
      <c r="K8" s="11"/>
    </row>
    <row r="9" spans="1:12" x14ac:dyDescent="0.2">
      <c r="A9" s="12">
        <v>45413</v>
      </c>
      <c r="B9" s="8"/>
      <c r="C9" s="8"/>
      <c r="D9" s="8"/>
      <c r="E9" s="8"/>
      <c r="F9" s="8"/>
      <c r="G9" s="8"/>
      <c r="H9" s="8"/>
      <c r="I9" s="8"/>
      <c r="J9" s="8">
        <f>IF((D9+E9)&gt;$H$1,(D9+E9)-$H$1,0)</f>
        <v>0</v>
      </c>
      <c r="K9" s="6"/>
    </row>
    <row r="10" spans="1:12" x14ac:dyDescent="0.2">
      <c r="A10" s="13">
        <v>45444</v>
      </c>
      <c r="B10" s="10"/>
      <c r="C10" s="10"/>
      <c r="D10" s="10"/>
      <c r="E10" s="10"/>
      <c r="F10" s="10"/>
      <c r="G10" s="10"/>
      <c r="H10" s="10"/>
      <c r="I10" s="10"/>
      <c r="J10" s="10">
        <f>IF((D10+E10)&gt;$H$1,(D10+E10)-$H$1,0)</f>
        <v>0</v>
      </c>
      <c r="K10" s="11"/>
    </row>
    <row r="11" spans="1:12" x14ac:dyDescent="0.2">
      <c r="A11" s="12">
        <v>45474</v>
      </c>
      <c r="B11" s="8"/>
      <c r="C11" s="8"/>
      <c r="D11" s="8"/>
      <c r="E11" s="8"/>
      <c r="F11" s="8"/>
      <c r="G11" s="8"/>
      <c r="H11" s="8"/>
      <c r="I11" s="8"/>
      <c r="J11" s="8">
        <f>IF((D11+E11)&gt;$H$1,(D11+E11)-$H$1,0)</f>
        <v>0</v>
      </c>
      <c r="K11" s="6"/>
    </row>
    <row r="12" spans="1:12" x14ac:dyDescent="0.2">
      <c r="A12" s="13">
        <v>45505</v>
      </c>
      <c r="B12" s="10"/>
      <c r="C12" s="10"/>
      <c r="D12" s="10"/>
      <c r="E12" s="10"/>
      <c r="F12" s="10"/>
      <c r="G12" s="10"/>
      <c r="H12" s="10"/>
      <c r="I12" s="10"/>
      <c r="J12" s="10">
        <f>IF((D12+E12)&gt;$H$1,(D12+E12)-$H$1,0)</f>
        <v>0</v>
      </c>
      <c r="K12" s="11"/>
    </row>
    <row r="13" spans="1:12" x14ac:dyDescent="0.2">
      <c r="A13" s="12">
        <v>45536</v>
      </c>
      <c r="B13" s="8">
        <v>525</v>
      </c>
      <c r="C13" s="8"/>
      <c r="D13" s="8"/>
      <c r="E13" s="8"/>
      <c r="F13" s="8"/>
      <c r="G13" s="8"/>
      <c r="H13" s="8"/>
      <c r="I13" s="8" t="s">
        <v>119</v>
      </c>
      <c r="J13" s="8">
        <f>IF((D13+E13)&gt;$H$1,(D13+E13)-$H$1,0)</f>
        <v>0</v>
      </c>
      <c r="K13" s="6"/>
    </row>
    <row r="14" spans="1:12" x14ac:dyDescent="0.2">
      <c r="A14" s="13">
        <v>45566</v>
      </c>
      <c r="B14" s="10">
        <v>372.58</v>
      </c>
      <c r="C14" s="10">
        <v>5.4859999999999998</v>
      </c>
      <c r="D14" s="10">
        <v>4.7050000000000001</v>
      </c>
      <c r="E14" s="10">
        <v>10.273</v>
      </c>
      <c r="F14" s="10">
        <v>23.1</v>
      </c>
      <c r="G14" s="10">
        <v>6.6</v>
      </c>
      <c r="H14" s="10">
        <v>706.46400000000006</v>
      </c>
      <c r="I14" s="10" t="s">
        <v>170</v>
      </c>
      <c r="J14" s="10">
        <f>IF((D14+E14)&gt;$H$1,(D14+E14)-$H$1,0)</f>
        <v>0</v>
      </c>
      <c r="K14" s="11"/>
    </row>
    <row r="15" spans="1:12" x14ac:dyDescent="0.2">
      <c r="A15" s="12">
        <v>45597</v>
      </c>
      <c r="B15" s="8">
        <f>Master!$M$11*110%</f>
        <v>577.5</v>
      </c>
      <c r="C15" s="8">
        <v>10.08</v>
      </c>
      <c r="D15" s="8">
        <v>0</v>
      </c>
      <c r="E15" s="8">
        <f>Master!$P$11</f>
        <v>14.5</v>
      </c>
      <c r="F15" s="8">
        <v>39.6</v>
      </c>
      <c r="G15" s="8"/>
      <c r="H15" s="8">
        <v>52.5</v>
      </c>
      <c r="I15" s="8"/>
      <c r="J15" s="8">
        <f>IF((D15+E15)&gt;$H$1,(D15+E15)-$H$1,0)</f>
        <v>0</v>
      </c>
      <c r="K15" s="6"/>
    </row>
    <row r="16" spans="1:12" ht="15.75" thickBot="1" x14ac:dyDescent="0.25">
      <c r="A16" s="13">
        <v>45627</v>
      </c>
      <c r="B16" s="10">
        <f>Master!$M$11*110%</f>
        <v>577.5</v>
      </c>
      <c r="C16" s="10">
        <v>2.2599999999999998</v>
      </c>
      <c r="D16" s="10">
        <v>0</v>
      </c>
      <c r="E16" s="10">
        <v>14.5</v>
      </c>
      <c r="F16" s="10">
        <v>39.6</v>
      </c>
      <c r="G16" s="10"/>
      <c r="H16" s="10">
        <v>52.5</v>
      </c>
      <c r="I16" s="10"/>
      <c r="J16" s="10">
        <f>IF((D16+E16)&gt;$H$1,(D16+E16)-$H$1,0)</f>
        <v>0</v>
      </c>
      <c r="K16" s="11"/>
      <c r="L16" s="3">
        <f>SUM(B5:B16)-SUM(C5:C16)-SUM(D5:D16)-SUM(E5:E16)-SUM(F5:F16)-SUM(G5:G16)-SUM(H5:H16)+SUM(J5:J16)</f>
        <v>1070.4120000000003</v>
      </c>
    </row>
    <row r="17" spans="1:12" x14ac:dyDescent="0.2">
      <c r="A17" s="62">
        <v>45658</v>
      </c>
      <c r="B17" s="66">
        <v>577.5</v>
      </c>
      <c r="C17" s="67">
        <v>7.97</v>
      </c>
      <c r="D17" s="67">
        <v>0</v>
      </c>
      <c r="E17" s="67">
        <v>14.5</v>
      </c>
      <c r="F17" s="67">
        <v>39.6</v>
      </c>
      <c r="G17" s="67"/>
      <c r="H17" s="67">
        <v>52.5</v>
      </c>
      <c r="I17" s="67"/>
      <c r="J17" s="67">
        <f>IF((C17+D17)&gt;$H$1,(C17+D17)-$H$1,0)</f>
        <v>0</v>
      </c>
      <c r="K17" s="68"/>
    </row>
    <row r="18" spans="1:12" x14ac:dyDescent="0.2">
      <c r="A18" s="54">
        <v>45689</v>
      </c>
      <c r="B18" s="55">
        <v>577.5</v>
      </c>
      <c r="C18" s="56">
        <v>15.23</v>
      </c>
      <c r="D18" s="56">
        <v>0.05</v>
      </c>
      <c r="E18" s="56">
        <v>14.5</v>
      </c>
      <c r="F18" s="56">
        <v>39.6</v>
      </c>
      <c r="G18" s="56"/>
      <c r="H18" s="56">
        <v>52.5</v>
      </c>
      <c r="I18" s="56"/>
      <c r="J18" s="56">
        <f>IF((C18+D18)&gt;$H$1,(C18+D18)-$H$1,0)</f>
        <v>0</v>
      </c>
      <c r="K18" s="57"/>
    </row>
    <row r="19" spans="1:12" x14ac:dyDescent="0.2">
      <c r="A19" s="50">
        <v>45717</v>
      </c>
      <c r="B19" s="51">
        <v>577.5</v>
      </c>
      <c r="C19" s="52">
        <v>13.67</v>
      </c>
      <c r="D19" s="52">
        <v>0</v>
      </c>
      <c r="E19" s="52">
        <v>14.5</v>
      </c>
      <c r="F19" s="52">
        <v>39.6</v>
      </c>
      <c r="G19" s="52">
        <v>80</v>
      </c>
      <c r="H19" s="52">
        <v>52.5</v>
      </c>
      <c r="I19" s="52" t="s">
        <v>142</v>
      </c>
      <c r="J19" s="52">
        <f>IF((C19+D19)&gt;$H$1,(C19+D19)-$H$1,0)</f>
        <v>0</v>
      </c>
      <c r="K19" s="53"/>
    </row>
    <row r="20" spans="1:12" x14ac:dyDescent="0.2">
      <c r="A20" s="54">
        <v>45748</v>
      </c>
      <c r="B20" s="55">
        <v>577.5</v>
      </c>
      <c r="C20" s="56">
        <v>9.94</v>
      </c>
      <c r="D20" s="56">
        <v>0</v>
      </c>
      <c r="E20" s="56">
        <v>14.5</v>
      </c>
      <c r="F20" s="56">
        <v>39.6</v>
      </c>
      <c r="G20" s="56"/>
      <c r="H20" s="56">
        <v>52.5</v>
      </c>
      <c r="I20" s="56"/>
      <c r="J20" s="56">
        <f>IF((C20+D20)&gt;$H$1,(C20+D20)-$H$1,0)</f>
        <v>0</v>
      </c>
      <c r="K20" s="57"/>
    </row>
    <row r="21" spans="1:12" x14ac:dyDescent="0.2">
      <c r="A21" s="50">
        <v>45778</v>
      </c>
      <c r="B21" s="51">
        <v>577.5</v>
      </c>
      <c r="C21" s="52">
        <v>14.92</v>
      </c>
      <c r="D21" s="52">
        <v>18.850000000000001</v>
      </c>
      <c r="E21" s="52">
        <v>16.18</v>
      </c>
      <c r="F21" s="52">
        <v>39.6</v>
      </c>
      <c r="G21" s="52"/>
      <c r="H21" s="52">
        <v>52.5</v>
      </c>
      <c r="I21" s="52"/>
      <c r="J21" s="52">
        <f>IF((C21+D21)&gt;$H$1,(C21+D21)-$H$1,0)</f>
        <v>8.7700000000000031</v>
      </c>
      <c r="K21" s="53" t="s">
        <v>91</v>
      </c>
    </row>
    <row r="22" spans="1:12" x14ac:dyDescent="0.2">
      <c r="A22" s="54">
        <v>45809</v>
      </c>
      <c r="B22" s="55">
        <v>577.5</v>
      </c>
      <c r="C22" s="56">
        <v>11.44</v>
      </c>
      <c r="D22" s="56">
        <v>1.375</v>
      </c>
      <c r="E22" s="56">
        <v>16.18</v>
      </c>
      <c r="F22" s="56">
        <v>39.6</v>
      </c>
      <c r="G22" s="56"/>
      <c r="H22" s="56">
        <v>52.5</v>
      </c>
      <c r="I22" s="56"/>
      <c r="J22" s="56">
        <f>IF((C22+D22)&gt;$H$1,(C22+D22)-$H$1,0)</f>
        <v>0</v>
      </c>
      <c r="K22" s="57"/>
    </row>
    <row r="23" spans="1:12" x14ac:dyDescent="0.2">
      <c r="A23" s="50">
        <v>45839</v>
      </c>
      <c r="B23" s="51">
        <v>577.5</v>
      </c>
      <c r="C23" s="52">
        <v>8.32</v>
      </c>
      <c r="D23" s="52">
        <v>16.2</v>
      </c>
      <c r="E23" s="52">
        <v>16.18</v>
      </c>
      <c r="F23" s="52">
        <v>39.6</v>
      </c>
      <c r="G23" s="52"/>
      <c r="H23" s="52">
        <v>52.5</v>
      </c>
      <c r="I23" s="52"/>
      <c r="J23" s="52">
        <f>IF((C23+D23)&gt;$H$1,(C23+D23)-$H$1,0)</f>
        <v>0</v>
      </c>
      <c r="K23" s="53"/>
    </row>
    <row r="24" spans="1:12" x14ac:dyDescent="0.2">
      <c r="A24" s="54">
        <v>45870</v>
      </c>
      <c r="B24" s="55">
        <v>577.5</v>
      </c>
      <c r="C24" s="56">
        <v>14.54</v>
      </c>
      <c r="D24" s="56">
        <v>26.475000000000001</v>
      </c>
      <c r="E24" s="56">
        <v>16.18</v>
      </c>
      <c r="F24" s="56">
        <v>39.6</v>
      </c>
      <c r="G24" s="56"/>
      <c r="H24" s="56">
        <v>52.5</v>
      </c>
      <c r="I24" s="56"/>
      <c r="J24" s="56">
        <f>IF((C24+D24)&gt;$H$1,(C24+D24)-$H$1,0)</f>
        <v>16.015000000000001</v>
      </c>
      <c r="K24" s="57" t="s">
        <v>91</v>
      </c>
    </row>
    <row r="25" spans="1:12" x14ac:dyDescent="0.2">
      <c r="A25" s="50">
        <v>45901</v>
      </c>
      <c r="B25" s="51">
        <v>577.5</v>
      </c>
      <c r="C25" s="52">
        <v>13.38</v>
      </c>
      <c r="D25" s="52">
        <v>3.1</v>
      </c>
      <c r="E25" s="52">
        <v>16.18</v>
      </c>
      <c r="F25" s="52">
        <v>39.6</v>
      </c>
      <c r="G25" s="52"/>
      <c r="H25" s="52">
        <v>52.5</v>
      </c>
      <c r="I25" s="52"/>
      <c r="J25" s="52">
        <f>IF((C25+D25)&gt;$H$1,(C25+D25)-$H$1,0)</f>
        <v>0</v>
      </c>
      <c r="K25" s="53"/>
    </row>
    <row r="26" spans="1:12" x14ac:dyDescent="0.2">
      <c r="A26" s="54">
        <v>45931</v>
      </c>
      <c r="B26" s="55">
        <v>577.5</v>
      </c>
      <c r="C26" s="56">
        <v>7.88</v>
      </c>
      <c r="D26" s="56">
        <v>8.85</v>
      </c>
      <c r="E26" s="56">
        <v>16.18</v>
      </c>
      <c r="F26" s="56">
        <v>39.6</v>
      </c>
      <c r="G26" s="56">
        <v>706.46400000000006</v>
      </c>
      <c r="H26" s="56">
        <v>52.5</v>
      </c>
      <c r="I26" s="10" t="s">
        <v>170</v>
      </c>
      <c r="J26" s="56">
        <f>IF((C26+D26)&gt;$H$1,(C26+D26)-$H$1,0)</f>
        <v>0</v>
      </c>
      <c r="K26" s="57"/>
    </row>
    <row r="27" spans="1:12" x14ac:dyDescent="0.2">
      <c r="A27" s="50">
        <v>45962</v>
      </c>
      <c r="B27" s="51">
        <v>577.5</v>
      </c>
      <c r="C27" s="52">
        <v>14.57</v>
      </c>
      <c r="D27" s="52">
        <v>2.5249999999999999</v>
      </c>
      <c r="E27" s="52">
        <v>16.18</v>
      </c>
      <c r="F27" s="52">
        <v>39.6</v>
      </c>
      <c r="G27" s="52"/>
      <c r="H27" s="52">
        <v>52.5</v>
      </c>
      <c r="I27" s="52"/>
      <c r="J27" s="52">
        <f>IF((C27+D27)&gt;$H$1,(C27+D27)-$H$1,0)</f>
        <v>0</v>
      </c>
      <c r="K27" s="53"/>
    </row>
    <row r="28" spans="1:12" ht="15.75" thickBot="1" x14ac:dyDescent="0.25">
      <c r="A28" s="58">
        <v>45992</v>
      </c>
      <c r="B28" s="59">
        <v>577.5</v>
      </c>
      <c r="C28" s="60">
        <v>12.02</v>
      </c>
      <c r="D28" s="60">
        <v>0.05</v>
      </c>
      <c r="E28" s="60">
        <v>16.18</v>
      </c>
      <c r="F28" s="60">
        <v>39.6</v>
      </c>
      <c r="G28" s="60"/>
      <c r="H28" s="60">
        <v>52.5</v>
      </c>
      <c r="I28" s="60"/>
      <c r="J28" s="60">
        <f>IF((C28+D28)&gt;$H$1,(C28+D28)-$H$1,0)</f>
        <v>0</v>
      </c>
      <c r="K28" s="61"/>
      <c r="L28" s="3">
        <f>SUM(B17:B28)-SUM(C17:C28)-SUM(D17:D28)-SUM(E17:E28)-SUM(F17:F28)-SUM(G17:G28)-SUM(H17:H28)+SUM(J17:J28)</f>
        <v>4654.326</v>
      </c>
    </row>
    <row r="29" spans="1:12" x14ac:dyDescent="0.2">
      <c r="A29" s="50">
        <v>46023</v>
      </c>
      <c r="B29" s="69">
        <v>577.5</v>
      </c>
      <c r="C29" s="70"/>
      <c r="D29" s="70"/>
      <c r="E29" s="70">
        <v>16.18</v>
      </c>
      <c r="F29" s="70">
        <v>39.6</v>
      </c>
      <c r="G29" s="70"/>
      <c r="H29" s="70">
        <v>52.5</v>
      </c>
      <c r="I29" s="70"/>
      <c r="J29" s="70">
        <f>IF((C29+D29)&gt;$H$1,(C29+D29)-$H$1,0)</f>
        <v>0</v>
      </c>
      <c r="K29" s="71"/>
    </row>
    <row r="30" spans="1:12" x14ac:dyDescent="0.2">
      <c r="A30" s="54">
        <v>46054</v>
      </c>
      <c r="B30" s="55"/>
      <c r="C30" s="56"/>
      <c r="D30" s="56"/>
      <c r="E30" s="56"/>
      <c r="F30" s="56"/>
      <c r="G30" s="56"/>
      <c r="H30" s="56"/>
      <c r="I30" s="56"/>
      <c r="J30" s="56">
        <f>IF((C30+D30)&gt;$H$1,(C30+D30)-$H$1,0)</f>
        <v>0</v>
      </c>
      <c r="K30" s="57"/>
    </row>
    <row r="31" spans="1:12" x14ac:dyDescent="0.2">
      <c r="A31" s="50">
        <v>46082</v>
      </c>
      <c r="B31" s="51"/>
      <c r="C31" s="52"/>
      <c r="D31" s="52"/>
      <c r="E31" s="52"/>
      <c r="F31" s="52"/>
      <c r="G31" s="52"/>
      <c r="H31" s="52"/>
      <c r="I31" s="52"/>
      <c r="J31" s="52">
        <f>IF((C31+D31)&gt;$H$1,(C31+D31)-$H$1,0)</f>
        <v>0</v>
      </c>
      <c r="K31" s="53"/>
    </row>
    <row r="32" spans="1:12" x14ac:dyDescent="0.2">
      <c r="A32" s="54">
        <v>46113</v>
      </c>
      <c r="B32" s="55"/>
      <c r="C32" s="56"/>
      <c r="D32" s="56"/>
      <c r="E32" s="56"/>
      <c r="F32" s="56"/>
      <c r="G32" s="56"/>
      <c r="H32" s="56"/>
      <c r="I32" s="56"/>
      <c r="J32" s="56">
        <f>IF((C32+D32)&gt;$H$1,(C32+D32)-$H$1,0)</f>
        <v>0</v>
      </c>
      <c r="K32" s="57"/>
    </row>
    <row r="33" spans="1:12" x14ac:dyDescent="0.2">
      <c r="A33" s="50">
        <v>46143</v>
      </c>
      <c r="B33" s="51"/>
      <c r="C33" s="52"/>
      <c r="D33" s="52"/>
      <c r="E33" s="52"/>
      <c r="F33" s="52"/>
      <c r="G33" s="52"/>
      <c r="H33" s="52"/>
      <c r="I33" s="52"/>
      <c r="J33" s="52">
        <f>IF((C33+D33)&gt;$H$1,(C33+D33)-$H$1,0)</f>
        <v>0</v>
      </c>
      <c r="K33" s="53"/>
    </row>
    <row r="34" spans="1:12" x14ac:dyDescent="0.2">
      <c r="A34" s="54">
        <v>46174</v>
      </c>
      <c r="B34" s="55"/>
      <c r="C34" s="56"/>
      <c r="D34" s="56"/>
      <c r="E34" s="56"/>
      <c r="F34" s="56"/>
      <c r="G34" s="56"/>
      <c r="H34" s="56"/>
      <c r="I34" s="56"/>
      <c r="J34" s="56">
        <f>IF((C34+D34)&gt;$H$1,(C34+D34)-$H$1,0)</f>
        <v>0</v>
      </c>
      <c r="K34" s="57"/>
    </row>
    <row r="35" spans="1:12" x14ac:dyDescent="0.2">
      <c r="A35" s="50">
        <v>46204</v>
      </c>
      <c r="B35" s="51"/>
      <c r="C35" s="52"/>
      <c r="D35" s="52"/>
      <c r="E35" s="52"/>
      <c r="F35" s="52"/>
      <c r="G35" s="52"/>
      <c r="H35" s="52"/>
      <c r="I35" s="52"/>
      <c r="J35" s="52">
        <f>IF((C35+D35)&gt;$H$1,(C35+D35)-$H$1,0)</f>
        <v>0</v>
      </c>
      <c r="K35" s="53"/>
    </row>
    <row r="36" spans="1:12" x14ac:dyDescent="0.2">
      <c r="A36" s="54">
        <v>46235</v>
      </c>
      <c r="B36" s="55"/>
      <c r="C36" s="56"/>
      <c r="D36" s="56"/>
      <c r="E36" s="56"/>
      <c r="F36" s="56"/>
      <c r="G36" s="56"/>
      <c r="H36" s="56"/>
      <c r="I36" s="56"/>
      <c r="J36" s="56">
        <f>IF((C36+D36)&gt;$H$1,(C36+D36)-$H$1,0)</f>
        <v>0</v>
      </c>
      <c r="K36" s="57"/>
    </row>
    <row r="37" spans="1:12" x14ac:dyDescent="0.2">
      <c r="A37" s="50">
        <v>46266</v>
      </c>
      <c r="B37" s="51"/>
      <c r="C37" s="52"/>
      <c r="D37" s="52"/>
      <c r="E37" s="52"/>
      <c r="F37" s="52"/>
      <c r="G37" s="52"/>
      <c r="H37" s="52"/>
      <c r="I37" s="52"/>
      <c r="J37" s="52">
        <f>IF((C37+D37)&gt;$H$1,(C37+D37)-$H$1,0)</f>
        <v>0</v>
      </c>
      <c r="K37" s="53"/>
    </row>
    <row r="38" spans="1:12" x14ac:dyDescent="0.2">
      <c r="A38" s="54">
        <v>46296</v>
      </c>
      <c r="B38" s="55"/>
      <c r="C38" s="56"/>
      <c r="D38" s="56"/>
      <c r="E38" s="56"/>
      <c r="F38" s="56"/>
      <c r="G38" s="56"/>
      <c r="H38" s="56"/>
      <c r="I38" s="56"/>
      <c r="J38" s="56">
        <f>IF((C38+D38)&gt;$H$1,(C38+D38)-$H$1,0)</f>
        <v>0</v>
      </c>
      <c r="K38" s="57"/>
    </row>
    <row r="39" spans="1:12" x14ac:dyDescent="0.2">
      <c r="A39" s="50">
        <v>46327</v>
      </c>
      <c r="B39" s="51"/>
      <c r="C39" s="52"/>
      <c r="D39" s="52"/>
      <c r="E39" s="52"/>
      <c r="F39" s="52"/>
      <c r="G39" s="52"/>
      <c r="H39" s="52"/>
      <c r="I39" s="52"/>
      <c r="J39" s="52">
        <f>IF((C39+D39)&gt;$H$1,(C39+D39)-$H$1,0)</f>
        <v>0</v>
      </c>
      <c r="K39" s="53"/>
    </row>
    <row r="40" spans="1:12" ht="15.75" thickBot="1" x14ac:dyDescent="0.25">
      <c r="A40" s="58">
        <v>46357</v>
      </c>
      <c r="B40" s="59"/>
      <c r="C40" s="60"/>
      <c r="D40" s="60"/>
      <c r="E40" s="60"/>
      <c r="F40" s="60"/>
      <c r="G40" s="60"/>
      <c r="H40" s="60"/>
      <c r="I40" s="60"/>
      <c r="J40" s="60">
        <f>IF((C40+D40)&gt;$H$1,(C40+D40)-$H$1,0)</f>
        <v>0</v>
      </c>
      <c r="K40" s="61"/>
      <c r="L40" s="3">
        <f>SUM(B29:B40)-SUM(C29:C40)-SUM(D29:D40)-SUM(E29:E40)-SUM(F29:F40)-SUM(G29:G40)-SUM(H29:H40)+SUM(J29:J40)</f>
        <v>469.22</v>
      </c>
    </row>
    <row r="41" spans="1:12" x14ac:dyDescent="0.2">
      <c r="A41" s="2"/>
      <c r="B41" s="3">
        <f>SUM(B29:B40)</f>
        <v>577.5</v>
      </c>
      <c r="C41" s="5">
        <f t="shared" ref="C41" si="0">SUM(C29:C40)</f>
        <v>0</v>
      </c>
      <c r="D41" s="5">
        <f>SUM(D29:D40)</f>
        <v>0</v>
      </c>
      <c r="E41" s="5">
        <f t="shared" ref="E41:H41" si="1">SUM(E29:E40)</f>
        <v>16.18</v>
      </c>
      <c r="F41" s="5">
        <f t="shared" si="1"/>
        <v>39.6</v>
      </c>
      <c r="G41" s="5">
        <f t="shared" si="1"/>
        <v>0</v>
      </c>
      <c r="H41" s="5">
        <f t="shared" si="1"/>
        <v>52.5</v>
      </c>
      <c r="I41" s="5"/>
      <c r="J41" s="5">
        <f t="shared" ref="J41" si="2">SUM(J29:J40)</f>
        <v>0</v>
      </c>
      <c r="K41" s="5"/>
    </row>
    <row r="42" spans="1:12" x14ac:dyDescent="0.2">
      <c r="A42" s="2" t="s">
        <v>5</v>
      </c>
      <c r="B42" s="3">
        <f>B41-C41-D41-E41-F41-G41-H41+J41</f>
        <v>469.22</v>
      </c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2" t="s">
        <v>15</v>
      </c>
      <c r="B43" s="4">
        <f>B42/65000</f>
        <v>7.2187692307692309E-3</v>
      </c>
      <c r="C43" s="2"/>
      <c r="D43" s="2"/>
      <c r="E43" s="2"/>
      <c r="F43" s="2"/>
      <c r="G43" s="2"/>
      <c r="H43" s="2"/>
      <c r="I43" s="2"/>
      <c r="J43" s="2"/>
      <c r="K43" s="2"/>
    </row>
    <row r="44" spans="1:12" x14ac:dyDescent="0.2">
      <c r="A44" s="17" t="s">
        <v>94</v>
      </c>
      <c r="B44" s="18"/>
      <c r="C44" s="19" t="s">
        <v>101</v>
      </c>
      <c r="D44" s="20">
        <f ca="1">TODAY()</f>
        <v>46029</v>
      </c>
      <c r="E44" s="17"/>
      <c r="F44" s="17"/>
      <c r="G44" s="17"/>
      <c r="H44" s="17"/>
      <c r="I44" s="17"/>
      <c r="J44" s="17"/>
      <c r="K44" s="17"/>
    </row>
  </sheetData>
  <pageMargins left="0.7" right="0.7" top="0.75" bottom="0.75" header="0.3" footer="0.3"/>
  <pageSetup orientation="portrait" horizontalDpi="1200" verticalDpi="1200" r:id="rId1"/>
  <headerFooter>
    <oddHeader>&amp;L&amp;"Arial"&amp;10&amp;K000000&amp;1#</oddHeader>
    <oddFooter>&amp;L&amp;1#&amp;"Arial"&amp;10&amp;K000000Saudi Aramco: Company General Use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A37F-43CB-3B47-A580-CABEA87D254A}">
  <sheetPr>
    <tabColor theme="9"/>
  </sheetPr>
  <dimension ref="A1:M35"/>
  <sheetViews>
    <sheetView tabSelected="1" workbookViewId="0">
      <pane ySplit="3" topLeftCell="A4" activePane="bottomLeft" state="frozen"/>
      <selection activeCell="L23" sqref="L23"/>
      <selection pane="bottomLeft" activeCell="J30" sqref="J30"/>
    </sheetView>
  </sheetViews>
  <sheetFormatPr defaultColWidth="8.609375" defaultRowHeight="15" x14ac:dyDescent="0.2"/>
  <cols>
    <col min="1" max="1" width="9.953125" customWidth="1"/>
    <col min="2" max="2" width="14.66015625" bestFit="1" customWidth="1"/>
    <col min="3" max="3" width="13.98828125" bestFit="1" customWidth="1"/>
    <col min="4" max="4" width="13.046875" bestFit="1" customWidth="1"/>
    <col min="5" max="6" width="13.98828125" bestFit="1" customWidth="1"/>
    <col min="7" max="7" width="14.66015625" bestFit="1" customWidth="1"/>
    <col min="8" max="8" width="15.6015625" bestFit="1" customWidth="1"/>
    <col min="9" max="9" width="24.88671875" customWidth="1"/>
    <col min="10" max="11" width="18.5625" customWidth="1"/>
    <col min="12" max="12" width="10.625" bestFit="1" customWidth="1"/>
    <col min="13" max="13" width="13.71875" bestFit="1" customWidth="1"/>
  </cols>
  <sheetData>
    <row r="1" spans="1:12" x14ac:dyDescent="0.2">
      <c r="A1" s="79" t="s">
        <v>0</v>
      </c>
      <c r="B1" s="80">
        <f>Master!B16</f>
        <v>1706</v>
      </c>
      <c r="C1" s="81" t="s">
        <v>38</v>
      </c>
      <c r="D1" s="80" t="str">
        <f>Master!J16</f>
        <v>P2-385</v>
      </c>
      <c r="E1" s="81" t="s">
        <v>2</v>
      </c>
      <c r="F1" s="80">
        <f>Master!N16</f>
        <v>1101799219</v>
      </c>
      <c r="G1" s="81" t="s">
        <v>27</v>
      </c>
      <c r="H1" s="82">
        <f>Master!O16</f>
        <v>25</v>
      </c>
      <c r="I1" s="83"/>
      <c r="J1" s="83"/>
      <c r="K1" s="83"/>
      <c r="L1" s="65"/>
    </row>
    <row r="2" spans="1:12" ht="15.75" thickBot="1" x14ac:dyDescent="0.25">
      <c r="A2" s="84" t="s">
        <v>28</v>
      </c>
      <c r="B2" s="85" t="str">
        <f>Master!C16</f>
        <v>Paul</v>
      </c>
      <c r="C2" s="86" t="s">
        <v>34</v>
      </c>
      <c r="D2" s="85">
        <f>Master!I16</f>
        <v>500878748</v>
      </c>
      <c r="E2" s="86" t="s">
        <v>29</v>
      </c>
      <c r="F2" s="87">
        <f>Master!K16</f>
        <v>45512</v>
      </c>
      <c r="G2" s="86" t="s">
        <v>30</v>
      </c>
      <c r="H2" s="87">
        <f>Master!L16</f>
        <v>46241</v>
      </c>
      <c r="I2" s="88"/>
      <c r="J2" s="88"/>
      <c r="K2" s="88"/>
      <c r="L2" s="89"/>
    </row>
    <row r="3" spans="1:12" x14ac:dyDescent="0.2">
      <c r="A3" s="14" t="s">
        <v>31</v>
      </c>
      <c r="B3" s="14" t="s">
        <v>32</v>
      </c>
      <c r="C3" s="14" t="s">
        <v>2</v>
      </c>
      <c r="D3" s="14" t="s">
        <v>33</v>
      </c>
      <c r="E3" s="14" t="s">
        <v>3</v>
      </c>
      <c r="F3" s="14" t="s">
        <v>93</v>
      </c>
      <c r="G3" s="14" t="s">
        <v>98</v>
      </c>
      <c r="H3" s="14" t="s">
        <v>96</v>
      </c>
      <c r="I3" s="14" t="s">
        <v>97</v>
      </c>
      <c r="J3" s="14" t="s">
        <v>139</v>
      </c>
      <c r="K3" s="14" t="s">
        <v>95</v>
      </c>
      <c r="L3" s="14" t="s">
        <v>103</v>
      </c>
    </row>
    <row r="4" spans="1:12" ht="15.75" thickBot="1" x14ac:dyDescent="0.25">
      <c r="A4" s="17" t="s">
        <v>94</v>
      </c>
      <c r="B4" s="18">
        <v>0</v>
      </c>
      <c r="C4" s="19" t="s">
        <v>101</v>
      </c>
      <c r="D4" s="20">
        <v>45657</v>
      </c>
      <c r="E4" s="17"/>
      <c r="F4" s="17"/>
      <c r="G4" s="17"/>
      <c r="H4" s="17"/>
      <c r="I4" s="17"/>
      <c r="J4" s="17"/>
      <c r="K4" s="17"/>
      <c r="L4" s="17"/>
    </row>
    <row r="5" spans="1:12" x14ac:dyDescent="0.2">
      <c r="A5" s="62">
        <v>45658</v>
      </c>
      <c r="B5" s="67">
        <v>222.58099999999999</v>
      </c>
      <c r="C5" s="67">
        <v>9.2100000000000009</v>
      </c>
      <c r="D5" s="67"/>
      <c r="E5" s="67">
        <v>0</v>
      </c>
      <c r="F5" s="67"/>
      <c r="G5" s="67">
        <v>28.75</v>
      </c>
      <c r="H5" s="67">
        <f>1.7%*74000</f>
        <v>1258</v>
      </c>
      <c r="I5" s="67" t="s">
        <v>136</v>
      </c>
      <c r="J5" s="67"/>
      <c r="K5" s="67"/>
      <c r="L5" s="68"/>
    </row>
    <row r="6" spans="1:12" x14ac:dyDescent="0.2">
      <c r="A6" s="50">
        <v>45658</v>
      </c>
      <c r="B6" s="70">
        <v>625</v>
      </c>
      <c r="C6" s="70"/>
      <c r="D6" s="70"/>
      <c r="E6" s="70">
        <v>0</v>
      </c>
      <c r="F6" s="70"/>
      <c r="G6" s="70"/>
      <c r="H6" s="70">
        <v>705.40800000000002</v>
      </c>
      <c r="I6" s="70" t="s">
        <v>121</v>
      </c>
      <c r="J6" s="70"/>
      <c r="K6" s="70">
        <f t="shared" ref="K6:K17" si="0">IF((C6+D6)&gt;$H$1,(C6+D6)-$H$1,0)</f>
        <v>0</v>
      </c>
      <c r="L6" s="71"/>
    </row>
    <row r="7" spans="1:12" x14ac:dyDescent="0.2">
      <c r="A7" s="54">
        <v>45689</v>
      </c>
      <c r="B7" s="56">
        <v>565</v>
      </c>
      <c r="C7" s="56"/>
      <c r="D7" s="56">
        <v>3.3</v>
      </c>
      <c r="E7" s="56">
        <v>14.484</v>
      </c>
      <c r="F7" s="56">
        <v>19.8</v>
      </c>
      <c r="G7" s="56">
        <v>28.75</v>
      </c>
      <c r="H7" s="56">
        <v>150</v>
      </c>
      <c r="I7" s="56" t="s">
        <v>138</v>
      </c>
      <c r="J7" s="56"/>
      <c r="K7" s="56">
        <f t="shared" si="0"/>
        <v>0</v>
      </c>
      <c r="L7" s="57"/>
    </row>
    <row r="8" spans="1:12" x14ac:dyDescent="0.2">
      <c r="A8" s="50">
        <v>45717</v>
      </c>
      <c r="B8" s="52">
        <v>585</v>
      </c>
      <c r="C8" s="52"/>
      <c r="D8" s="52">
        <v>4.5750000000000002</v>
      </c>
      <c r="E8" s="52">
        <v>14.484</v>
      </c>
      <c r="F8" s="52">
        <v>19.8</v>
      </c>
      <c r="G8" s="52">
        <v>28.75</v>
      </c>
      <c r="H8" s="52"/>
      <c r="I8" s="52"/>
      <c r="J8" s="52"/>
      <c r="K8" s="52">
        <f t="shared" si="0"/>
        <v>0</v>
      </c>
      <c r="L8" s="53"/>
    </row>
    <row r="9" spans="1:12" x14ac:dyDescent="0.2">
      <c r="A9" s="54">
        <v>45748</v>
      </c>
      <c r="B9" s="56">
        <v>575</v>
      </c>
      <c r="C9" s="56"/>
      <c r="D9" s="56"/>
      <c r="E9" s="56">
        <v>14.484</v>
      </c>
      <c r="F9" s="56">
        <v>19.8</v>
      </c>
      <c r="G9" s="56">
        <v>28.75</v>
      </c>
      <c r="H9" s="56"/>
      <c r="I9" s="56"/>
      <c r="J9" s="56"/>
      <c r="K9" s="56">
        <f t="shared" si="0"/>
        <v>0</v>
      </c>
      <c r="L9" s="57"/>
    </row>
    <row r="10" spans="1:12" x14ac:dyDescent="0.2">
      <c r="A10" s="50">
        <v>45778</v>
      </c>
      <c r="B10" s="52">
        <v>575</v>
      </c>
      <c r="C10" s="52"/>
      <c r="D10" s="52">
        <v>21.475000000000001</v>
      </c>
      <c r="E10" s="52">
        <v>14.484</v>
      </c>
      <c r="F10" s="52">
        <v>19.8</v>
      </c>
      <c r="G10" s="52">
        <v>28.75</v>
      </c>
      <c r="H10" s="52"/>
      <c r="I10" s="52"/>
      <c r="J10" s="52">
        <v>500</v>
      </c>
      <c r="K10" s="52">
        <f>IF((C10+D10)&gt;$H$1,(C10+D10)-$H$1,0)</f>
        <v>0</v>
      </c>
      <c r="L10" s="53"/>
    </row>
    <row r="11" spans="1:12" x14ac:dyDescent="0.2">
      <c r="A11" s="54">
        <v>45809</v>
      </c>
      <c r="B11" s="56">
        <v>575</v>
      </c>
      <c r="C11" s="56"/>
      <c r="D11" s="56">
        <v>6.0250000000000004</v>
      </c>
      <c r="E11" s="56">
        <v>14.484</v>
      </c>
      <c r="F11" s="56">
        <v>19.8</v>
      </c>
      <c r="G11" s="56">
        <v>28.75</v>
      </c>
      <c r="H11" s="56"/>
      <c r="I11" s="56"/>
      <c r="J11" s="56">
        <v>500</v>
      </c>
      <c r="K11" s="56">
        <f t="shared" ref="K11:K17" si="1">IF((C11+D11)&gt;$H$1,(C11+D11)-$H$1,0)</f>
        <v>0</v>
      </c>
      <c r="L11" s="57"/>
    </row>
    <row r="12" spans="1:12" x14ac:dyDescent="0.2">
      <c r="A12" s="50">
        <v>45839</v>
      </c>
      <c r="B12" s="52">
        <v>575</v>
      </c>
      <c r="C12" s="52"/>
      <c r="D12" s="52">
        <v>12.95</v>
      </c>
      <c r="E12" s="52">
        <v>14.484</v>
      </c>
      <c r="F12" s="52">
        <v>19.8</v>
      </c>
      <c r="G12" s="52">
        <v>28.75</v>
      </c>
      <c r="H12" s="52"/>
      <c r="I12" s="52"/>
      <c r="J12" s="52">
        <v>500</v>
      </c>
      <c r="K12" s="52">
        <f t="shared" si="1"/>
        <v>0</v>
      </c>
      <c r="L12" s="53"/>
    </row>
    <row r="13" spans="1:12" x14ac:dyDescent="0.2">
      <c r="A13" s="54">
        <v>45870</v>
      </c>
      <c r="B13" s="56">
        <v>575</v>
      </c>
      <c r="C13" s="56">
        <v>70.13</v>
      </c>
      <c r="D13" s="56">
        <v>9.875</v>
      </c>
      <c r="E13" s="56">
        <v>14.484</v>
      </c>
      <c r="F13" s="56">
        <v>19.8</v>
      </c>
      <c r="G13" s="56">
        <v>28.75</v>
      </c>
      <c r="H13" s="56"/>
      <c r="I13" s="56"/>
      <c r="J13" s="56">
        <v>500</v>
      </c>
      <c r="K13" s="56">
        <v>0</v>
      </c>
      <c r="L13" s="57"/>
    </row>
    <row r="14" spans="1:12" x14ac:dyDescent="0.2">
      <c r="A14" s="50">
        <v>45901</v>
      </c>
      <c r="B14" s="52">
        <v>575</v>
      </c>
      <c r="C14" s="52">
        <v>12.74</v>
      </c>
      <c r="D14" s="52">
        <v>11.25</v>
      </c>
      <c r="E14" s="52">
        <v>14.484</v>
      </c>
      <c r="F14" s="52">
        <v>19.8</v>
      </c>
      <c r="G14" s="52">
        <v>28.75</v>
      </c>
      <c r="H14" s="52"/>
      <c r="I14" s="101"/>
      <c r="J14" s="52">
        <v>500</v>
      </c>
      <c r="K14" s="52">
        <f t="shared" si="1"/>
        <v>0</v>
      </c>
      <c r="L14" s="53"/>
    </row>
    <row r="15" spans="1:12" x14ac:dyDescent="0.2">
      <c r="A15" s="54">
        <v>45931</v>
      </c>
      <c r="B15" s="56">
        <v>575</v>
      </c>
      <c r="C15" s="56">
        <v>11.27</v>
      </c>
      <c r="D15" s="56">
        <v>11.28</v>
      </c>
      <c r="E15" s="56">
        <v>14.484</v>
      </c>
      <c r="F15" s="56">
        <v>19.8</v>
      </c>
      <c r="G15" s="56">
        <v>28.75</v>
      </c>
      <c r="H15" s="56">
        <v>1200</v>
      </c>
      <c r="I15" s="56" t="s">
        <v>162</v>
      </c>
      <c r="J15" s="56"/>
      <c r="K15" s="56">
        <f t="shared" si="1"/>
        <v>0</v>
      </c>
      <c r="L15" s="57"/>
    </row>
    <row r="16" spans="1:12" x14ac:dyDescent="0.2">
      <c r="A16" s="50">
        <v>45962</v>
      </c>
      <c r="B16" s="52">
        <v>575</v>
      </c>
      <c r="C16" s="52">
        <v>16.27</v>
      </c>
      <c r="D16" s="52">
        <v>9.0500000000000007</v>
      </c>
      <c r="E16" s="52">
        <v>14.484</v>
      </c>
      <c r="F16" s="52">
        <v>19.8</v>
      </c>
      <c r="G16" s="52">
        <v>28.75</v>
      </c>
      <c r="H16" s="52"/>
      <c r="I16" s="52"/>
      <c r="J16" s="52"/>
      <c r="K16" s="52">
        <v>0</v>
      </c>
      <c r="L16" s="53"/>
    </row>
    <row r="17" spans="1:13" x14ac:dyDescent="0.2">
      <c r="A17" s="54">
        <v>45992</v>
      </c>
      <c r="B17" s="56">
        <v>575</v>
      </c>
      <c r="C17" s="56">
        <v>14.59</v>
      </c>
      <c r="D17" s="56">
        <v>3.625</v>
      </c>
      <c r="E17" s="56">
        <v>14.484</v>
      </c>
      <c r="F17" s="56">
        <v>19.8</v>
      </c>
      <c r="G17" s="56">
        <v>28.75</v>
      </c>
      <c r="H17" s="56"/>
      <c r="I17" s="56"/>
      <c r="J17" s="56"/>
      <c r="K17" s="56">
        <f t="shared" si="1"/>
        <v>0</v>
      </c>
      <c r="L17" s="57"/>
    </row>
    <row r="18" spans="1:13" x14ac:dyDescent="0.2">
      <c r="A18" s="136"/>
      <c r="B18" s="137">
        <f>SUM(B5:B17)</f>
        <v>7172.5810000000001</v>
      </c>
      <c r="C18" s="137">
        <f t="shared" ref="C18:K18" si="2">SUM(C5:C17)</f>
        <v>134.20999999999998</v>
      </c>
      <c r="D18" s="137">
        <f t="shared" si="2"/>
        <v>93.405000000000001</v>
      </c>
      <c r="E18" s="137">
        <f t="shared" si="2"/>
        <v>159.32400000000001</v>
      </c>
      <c r="F18" s="137">
        <f t="shared" si="2"/>
        <v>217.80000000000004</v>
      </c>
      <c r="G18" s="137">
        <f t="shared" si="2"/>
        <v>345</v>
      </c>
      <c r="H18" s="137">
        <f t="shared" si="2"/>
        <v>3313.4079999999999</v>
      </c>
      <c r="I18" s="137"/>
      <c r="J18" s="137">
        <f t="shared" si="2"/>
        <v>2500</v>
      </c>
      <c r="K18" s="137">
        <f t="shared" si="2"/>
        <v>0</v>
      </c>
      <c r="L18" s="139"/>
      <c r="M18" s="3">
        <f>SUM(B5:B17)-SUM(C5:C17)-SUM(D5:D17)-SUM(E5:E17)-SUM(F5:F17)-SUM(G5:G17)-SUM(H5:H17)-SUM(J5:J17)+SUM(K5:K17)</f>
        <v>409.43400000000065</v>
      </c>
    </row>
    <row r="19" spans="1:13" x14ac:dyDescent="0.2">
      <c r="A19" s="136" t="s">
        <v>5</v>
      </c>
      <c r="B19" s="137">
        <f>B18-C18-D18-E18-F18-G18-H18-J18+K18</f>
        <v>409.43400000000065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40"/>
    </row>
    <row r="20" spans="1:13" ht="15.75" thickBot="1" x14ac:dyDescent="0.25">
      <c r="A20" s="141" t="s">
        <v>94</v>
      </c>
      <c r="B20" s="142">
        <f>B4+B19</f>
        <v>409.43400000000065</v>
      </c>
      <c r="C20" s="143" t="s">
        <v>101</v>
      </c>
      <c r="D20" s="144">
        <v>46022</v>
      </c>
      <c r="E20" s="145"/>
      <c r="F20" s="145"/>
      <c r="G20" s="145"/>
      <c r="H20" s="145"/>
      <c r="I20" s="145"/>
      <c r="J20" s="145"/>
      <c r="K20" s="145"/>
      <c r="L20" s="146"/>
    </row>
    <row r="21" spans="1:13" x14ac:dyDescent="0.2">
      <c r="A21" s="50">
        <v>45658</v>
      </c>
      <c r="B21" s="69">
        <v>575</v>
      </c>
      <c r="C21" s="70"/>
      <c r="D21" s="70"/>
      <c r="E21" s="70">
        <v>14.484</v>
      </c>
      <c r="F21" s="70">
        <v>19.8</v>
      </c>
      <c r="G21" s="52">
        <v>28.75</v>
      </c>
      <c r="H21" s="70"/>
      <c r="I21" s="70"/>
      <c r="J21" s="70"/>
      <c r="K21" s="70">
        <f t="shared" ref="K21:K32" si="3">IF((C21+D21)&gt;$H$1,(C21+D21)-$H$1,0)</f>
        <v>0</v>
      </c>
      <c r="L21" s="71"/>
    </row>
    <row r="22" spans="1:13" x14ac:dyDescent="0.2">
      <c r="A22" s="54">
        <v>45689</v>
      </c>
      <c r="B22" s="55"/>
      <c r="C22" s="56"/>
      <c r="D22" s="56"/>
      <c r="E22" s="56"/>
      <c r="F22" s="56"/>
      <c r="G22" s="56"/>
      <c r="H22" s="56"/>
      <c r="I22" s="56"/>
      <c r="J22" s="56"/>
      <c r="K22" s="56">
        <f t="shared" si="3"/>
        <v>0</v>
      </c>
      <c r="L22" s="57"/>
    </row>
    <row r="23" spans="1:13" x14ac:dyDescent="0.2">
      <c r="A23" s="50">
        <v>45717</v>
      </c>
      <c r="B23" s="51"/>
      <c r="C23" s="52"/>
      <c r="D23" s="52"/>
      <c r="E23" s="52"/>
      <c r="F23" s="52"/>
      <c r="G23" s="52"/>
      <c r="H23" s="52"/>
      <c r="I23" s="52"/>
      <c r="J23" s="52"/>
      <c r="K23" s="52">
        <f t="shared" si="3"/>
        <v>0</v>
      </c>
      <c r="L23" s="53"/>
    </row>
    <row r="24" spans="1:13" x14ac:dyDescent="0.2">
      <c r="A24" s="54">
        <v>45748</v>
      </c>
      <c r="B24" s="55"/>
      <c r="C24" s="56"/>
      <c r="D24" s="56"/>
      <c r="E24" s="56"/>
      <c r="F24" s="56"/>
      <c r="G24" s="56"/>
      <c r="H24" s="56"/>
      <c r="I24" s="56"/>
      <c r="J24" s="56"/>
      <c r="K24" s="56">
        <f t="shared" si="3"/>
        <v>0</v>
      </c>
      <c r="L24" s="57"/>
    </row>
    <row r="25" spans="1:13" x14ac:dyDescent="0.2">
      <c r="A25" s="50">
        <v>45778</v>
      </c>
      <c r="B25" s="51"/>
      <c r="C25" s="52"/>
      <c r="D25" s="52"/>
      <c r="E25" s="52"/>
      <c r="F25" s="52"/>
      <c r="G25" s="52"/>
      <c r="H25" s="134"/>
      <c r="I25" s="134"/>
      <c r="J25" s="52"/>
      <c r="K25" s="52">
        <f t="shared" si="3"/>
        <v>0</v>
      </c>
      <c r="L25" s="53"/>
    </row>
    <row r="26" spans="1:13" x14ac:dyDescent="0.2">
      <c r="A26" s="54">
        <v>45809</v>
      </c>
      <c r="B26" s="55"/>
      <c r="C26" s="56"/>
      <c r="D26" s="56"/>
      <c r="E26" s="56"/>
      <c r="F26" s="56"/>
      <c r="G26" s="56"/>
      <c r="H26" s="56"/>
      <c r="I26" s="56"/>
      <c r="J26" s="56"/>
      <c r="K26" s="56">
        <f t="shared" si="3"/>
        <v>0</v>
      </c>
      <c r="L26" s="57"/>
    </row>
    <row r="27" spans="1:13" x14ac:dyDescent="0.2">
      <c r="A27" s="50">
        <v>45839</v>
      </c>
      <c r="B27" s="51"/>
      <c r="C27" s="52"/>
      <c r="D27" s="52"/>
      <c r="E27" s="52"/>
      <c r="F27" s="52"/>
      <c r="G27" s="52"/>
      <c r="H27" s="134"/>
      <c r="I27" s="134"/>
      <c r="J27" s="52"/>
      <c r="K27" s="52">
        <f t="shared" si="3"/>
        <v>0</v>
      </c>
      <c r="L27" s="53"/>
    </row>
    <row r="28" spans="1:13" x14ac:dyDescent="0.2">
      <c r="A28" s="54">
        <v>45870</v>
      </c>
      <c r="B28" s="55"/>
      <c r="C28" s="56"/>
      <c r="D28" s="56"/>
      <c r="E28" s="56"/>
      <c r="F28" s="56"/>
      <c r="G28" s="56"/>
      <c r="H28" s="56"/>
      <c r="I28" s="56"/>
      <c r="J28" s="56"/>
      <c r="K28" s="56">
        <f t="shared" si="3"/>
        <v>0</v>
      </c>
      <c r="L28" s="57"/>
    </row>
    <row r="29" spans="1:13" x14ac:dyDescent="0.2">
      <c r="A29" s="50">
        <v>45901</v>
      </c>
      <c r="B29" s="51"/>
      <c r="C29" s="52"/>
      <c r="D29" s="52"/>
      <c r="E29" s="52"/>
      <c r="F29" s="52"/>
      <c r="G29" s="52"/>
      <c r="H29" s="52"/>
      <c r="I29" s="52"/>
      <c r="J29" s="52"/>
      <c r="K29" s="52">
        <f t="shared" si="3"/>
        <v>0</v>
      </c>
      <c r="L29" s="53"/>
    </row>
    <row r="30" spans="1:13" x14ac:dyDescent="0.2">
      <c r="A30" s="54">
        <v>45931</v>
      </c>
      <c r="B30" s="55"/>
      <c r="C30" s="56"/>
      <c r="D30" s="56"/>
      <c r="E30" s="56"/>
      <c r="F30" s="56"/>
      <c r="G30" s="56"/>
      <c r="H30" s="56"/>
      <c r="I30" s="56"/>
      <c r="J30" s="56"/>
      <c r="K30" s="56">
        <f t="shared" si="3"/>
        <v>0</v>
      </c>
      <c r="L30" s="57"/>
    </row>
    <row r="31" spans="1:13" x14ac:dyDescent="0.2">
      <c r="A31" s="50">
        <v>45962</v>
      </c>
      <c r="B31" s="51"/>
      <c r="C31" s="52"/>
      <c r="D31" s="52"/>
      <c r="E31" s="52"/>
      <c r="F31" s="52"/>
      <c r="G31" s="52"/>
      <c r="H31" s="52"/>
      <c r="I31" s="52"/>
      <c r="J31" s="52"/>
      <c r="K31" s="52">
        <f t="shared" si="3"/>
        <v>0</v>
      </c>
      <c r="L31" s="53"/>
    </row>
    <row r="32" spans="1:13" x14ac:dyDescent="0.2">
      <c r="A32" s="54">
        <v>45992</v>
      </c>
      <c r="B32" s="55"/>
      <c r="C32" s="56"/>
      <c r="D32" s="56"/>
      <c r="E32" s="56"/>
      <c r="F32" s="56"/>
      <c r="G32" s="56"/>
      <c r="H32" s="135"/>
      <c r="I32" s="135"/>
      <c r="J32" s="56"/>
      <c r="K32" s="56">
        <f t="shared" si="3"/>
        <v>0</v>
      </c>
      <c r="L32" s="57"/>
    </row>
    <row r="33" spans="1:13" x14ac:dyDescent="0.2">
      <c r="A33" s="136"/>
      <c r="B33" s="137">
        <f>SUM(B21:B32)</f>
        <v>575</v>
      </c>
      <c r="C33" s="138">
        <f t="shared" ref="C33" si="4">SUM(C21:C32)</f>
        <v>0</v>
      </c>
      <c r="D33" s="138">
        <f>SUM(D21:D32)</f>
        <v>0</v>
      </c>
      <c r="E33" s="138">
        <f t="shared" ref="E33:J33" si="5">SUM(E21:E32)</f>
        <v>14.484</v>
      </c>
      <c r="F33" s="138">
        <f t="shared" si="5"/>
        <v>19.8</v>
      </c>
      <c r="G33" s="138">
        <f t="shared" si="5"/>
        <v>28.75</v>
      </c>
      <c r="H33" s="138">
        <f t="shared" si="5"/>
        <v>0</v>
      </c>
      <c r="I33" s="138"/>
      <c r="J33" s="138">
        <f t="shared" ref="J33" si="6">SUM(J21:J32)</f>
        <v>0</v>
      </c>
      <c r="K33" s="138"/>
      <c r="L33" s="139"/>
      <c r="M33" s="3">
        <f>SUM(B21:B32)-SUM(C21:C32)-SUM(D21:D32)-SUM(E21:E32)-SUM(F21:F32)-SUM(G21:G32)-SUM(H21:H32)+SUM(K21:K32)</f>
        <v>511.96600000000001</v>
      </c>
    </row>
    <row r="34" spans="1:13" x14ac:dyDescent="0.2">
      <c r="A34" s="136" t="s">
        <v>5</v>
      </c>
      <c r="B34" s="137">
        <f>B33-C33-D33-E33-F33-G33-H33+K33</f>
        <v>511.96600000000001</v>
      </c>
      <c r="C34" s="137"/>
      <c r="D34" s="137"/>
      <c r="E34" s="137"/>
      <c r="F34" s="137"/>
      <c r="G34" s="137"/>
      <c r="H34" s="137"/>
      <c r="I34" s="137"/>
      <c r="J34" s="137"/>
      <c r="K34" s="137"/>
      <c r="L34" s="140"/>
    </row>
    <row r="35" spans="1:13" ht="15.75" thickBot="1" x14ac:dyDescent="0.25">
      <c r="A35" s="141" t="s">
        <v>94</v>
      </c>
      <c r="B35" s="142">
        <f>B20+B34</f>
        <v>921.40000000000066</v>
      </c>
      <c r="C35" s="143" t="s">
        <v>101</v>
      </c>
      <c r="D35" s="144">
        <f ca="1">TODAY()</f>
        <v>46029</v>
      </c>
      <c r="E35" s="145"/>
      <c r="F35" s="145"/>
      <c r="G35" s="145"/>
      <c r="H35" s="145"/>
      <c r="I35" s="145"/>
      <c r="J35" s="145"/>
      <c r="K35" s="145"/>
      <c r="L35" s="146"/>
    </row>
  </sheetData>
  <pageMargins left="0.7" right="0.7" top="0.75" bottom="0.75" header="0.3" footer="0.3"/>
  <pageSetup orientation="portrait" horizontalDpi="1200" verticalDpi="1200" r:id="rId1"/>
  <headerFooter>
    <oddHeader>&amp;L&amp;"Arial"&amp;10&amp;K000000&amp;1#</oddHeader>
    <oddFooter>&amp;L&amp;1#&amp;"Arial"&amp;10&amp;K000000Saudi Aramco: Company General Use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26D2-FCE8-4188-BD67-97E2B2DEE733}">
  <sheetPr>
    <tabColor theme="9"/>
  </sheetPr>
  <dimension ref="A1:R44"/>
  <sheetViews>
    <sheetView topLeftCell="I1" workbookViewId="0">
      <pane ySplit="3" topLeftCell="I4" activePane="bottomLeft" state="frozen"/>
      <selection activeCell="E21" sqref="E21"/>
      <selection pane="bottomLeft" activeCell="N1" sqref="N1:R7"/>
    </sheetView>
  </sheetViews>
  <sheetFormatPr defaultColWidth="8.609375" defaultRowHeight="15" x14ac:dyDescent="0.2"/>
  <cols>
    <col min="1" max="1" width="9.953125" customWidth="1"/>
    <col min="2" max="2" width="13.71875" bestFit="1" customWidth="1"/>
    <col min="3" max="3" width="12.9140625" bestFit="1" customWidth="1"/>
    <col min="4" max="5" width="12.23828125" bestFit="1" customWidth="1"/>
    <col min="6" max="6" width="13.44921875" bestFit="1" customWidth="1"/>
    <col min="7" max="7" width="12.9140625" bestFit="1" customWidth="1"/>
    <col min="8" max="8" width="13.1796875" bestFit="1" customWidth="1"/>
    <col min="9" max="9" width="23.26953125" bestFit="1" customWidth="1"/>
    <col min="10" max="10" width="12.23828125" bestFit="1" customWidth="1"/>
    <col min="11" max="11" width="10.625" bestFit="1" customWidth="1"/>
    <col min="12" max="12" width="13.71875" bestFit="1" customWidth="1"/>
    <col min="15" max="15" width="11.1640625" bestFit="1" customWidth="1"/>
    <col min="16" max="16" width="12.23828125" bestFit="1" customWidth="1"/>
    <col min="17" max="17" width="9.953125" bestFit="1" customWidth="1"/>
    <col min="18" max="18" width="12.23828125" bestFit="1" customWidth="1"/>
  </cols>
  <sheetData>
    <row r="1" spans="1:18" x14ac:dyDescent="0.2">
      <c r="A1" s="79" t="s">
        <v>0</v>
      </c>
      <c r="B1" s="80">
        <f>Master!B12</f>
        <v>1805</v>
      </c>
      <c r="C1" s="81" t="s">
        <v>38</v>
      </c>
      <c r="D1" s="80" t="str">
        <f>Master!J12</f>
        <v>P2-329</v>
      </c>
      <c r="E1" s="81" t="s">
        <v>2</v>
      </c>
      <c r="F1" s="80">
        <f>Master!N12</f>
        <v>1101077285</v>
      </c>
      <c r="G1" s="81" t="s">
        <v>27</v>
      </c>
      <c r="H1" s="82">
        <f>Master!O12</f>
        <v>20</v>
      </c>
      <c r="I1" s="83"/>
      <c r="J1" s="83"/>
      <c r="K1" s="65"/>
      <c r="N1" s="79" t="s">
        <v>0</v>
      </c>
      <c r="O1" s="80">
        <f>Master!B12</f>
        <v>1805</v>
      </c>
      <c r="P1" s="81"/>
      <c r="Q1" s="81" t="s">
        <v>2</v>
      </c>
      <c r="R1" s="121">
        <f>Master!N12</f>
        <v>1101077285</v>
      </c>
    </row>
    <row r="2" spans="1:18" ht="15.75" thickBot="1" x14ac:dyDescent="0.25">
      <c r="A2" s="84" t="s">
        <v>28</v>
      </c>
      <c r="B2" s="85" t="str">
        <f>Master!C12</f>
        <v>Islam</v>
      </c>
      <c r="C2" s="86" t="s">
        <v>34</v>
      </c>
      <c r="D2" s="85" t="str">
        <f>Master!I12</f>
        <v>3990 5099</v>
      </c>
      <c r="E2" s="86" t="s">
        <v>29</v>
      </c>
      <c r="F2" s="87">
        <f>Master!K12</f>
        <v>45797</v>
      </c>
      <c r="G2" s="86" t="s">
        <v>30</v>
      </c>
      <c r="H2" s="87">
        <f>Master!L12</f>
        <v>46161</v>
      </c>
      <c r="I2" s="88"/>
      <c r="J2" s="88"/>
      <c r="K2" s="89"/>
      <c r="N2" s="84" t="s">
        <v>28</v>
      </c>
      <c r="O2" s="85" t="str">
        <f>Master!C12</f>
        <v>Islam</v>
      </c>
      <c r="P2" s="86"/>
      <c r="Q2" s="122" t="s">
        <v>27</v>
      </c>
      <c r="R2" s="128">
        <f>Master!O12</f>
        <v>20</v>
      </c>
    </row>
    <row r="3" spans="1:18" ht="15.75" thickBot="1" x14ac:dyDescent="0.25">
      <c r="A3" s="14" t="s">
        <v>31</v>
      </c>
      <c r="B3" s="14" t="s">
        <v>32</v>
      </c>
      <c r="C3" s="14" t="s">
        <v>2</v>
      </c>
      <c r="D3" s="14" t="s">
        <v>33</v>
      </c>
      <c r="E3" s="14" t="s">
        <v>3</v>
      </c>
      <c r="F3" s="14" t="s">
        <v>93</v>
      </c>
      <c r="G3" s="14" t="s">
        <v>98</v>
      </c>
      <c r="H3" s="14" t="s">
        <v>96</v>
      </c>
      <c r="I3" s="14" t="s">
        <v>97</v>
      </c>
      <c r="J3" s="14" t="s">
        <v>95</v>
      </c>
      <c r="K3" s="14" t="s">
        <v>103</v>
      </c>
      <c r="N3" s="170" t="s">
        <v>31</v>
      </c>
      <c r="O3" s="171" t="s">
        <v>2</v>
      </c>
      <c r="P3" s="171" t="s">
        <v>171</v>
      </c>
      <c r="Q3" s="171"/>
      <c r="R3" s="172" t="s">
        <v>95</v>
      </c>
    </row>
    <row r="4" spans="1:18" x14ac:dyDescent="0.2">
      <c r="A4" s="166" t="s">
        <v>94</v>
      </c>
      <c r="B4" s="167">
        <v>0</v>
      </c>
      <c r="C4" s="168" t="s">
        <v>101</v>
      </c>
      <c r="D4" s="169">
        <v>45291</v>
      </c>
      <c r="E4" s="151"/>
      <c r="F4" s="151"/>
      <c r="G4" s="151"/>
      <c r="H4" s="151"/>
      <c r="I4" s="151"/>
      <c r="J4" s="151"/>
      <c r="K4" s="152"/>
      <c r="N4" s="54">
        <v>45870</v>
      </c>
      <c r="O4" s="55">
        <v>16.11</v>
      </c>
      <c r="P4" s="56">
        <v>14.4</v>
      </c>
      <c r="Q4" s="56"/>
      <c r="R4" s="111">
        <f>O4+P4-$R$2</f>
        <v>10.509999999999998</v>
      </c>
    </row>
    <row r="5" spans="1:18" x14ac:dyDescent="0.2">
      <c r="A5" s="50">
        <v>45292</v>
      </c>
      <c r="B5" s="69">
        <f>Master!$M$12</f>
        <v>500</v>
      </c>
      <c r="C5" s="70"/>
      <c r="D5" s="70">
        <v>0</v>
      </c>
      <c r="E5" s="70">
        <f>Master!$P$12</f>
        <v>16.18</v>
      </c>
      <c r="F5" s="70"/>
      <c r="G5" s="70"/>
      <c r="H5" s="70"/>
      <c r="I5" s="70"/>
      <c r="J5" s="70">
        <f>IF((D5+E5)&gt;$H$1,(D5+E5)-$H$1,0)</f>
        <v>0</v>
      </c>
      <c r="K5" s="71"/>
      <c r="N5" s="50">
        <v>45901</v>
      </c>
      <c r="O5" s="51">
        <v>17.239999999999998</v>
      </c>
      <c r="P5" s="52">
        <v>3.3250000000000002</v>
      </c>
      <c r="Q5" s="52"/>
      <c r="R5" s="112">
        <f>O5+P5-$R$2</f>
        <v>0.56499999999999773</v>
      </c>
    </row>
    <row r="6" spans="1:18" x14ac:dyDescent="0.2">
      <c r="A6" s="54">
        <v>45323</v>
      </c>
      <c r="B6" s="55">
        <f>Master!$M$9</f>
        <v>500</v>
      </c>
      <c r="C6" s="56"/>
      <c r="D6" s="56">
        <v>0</v>
      </c>
      <c r="E6" s="56">
        <f>Master!$P$9</f>
        <v>16.18</v>
      </c>
      <c r="F6" s="56"/>
      <c r="G6" s="56"/>
      <c r="H6" s="56"/>
      <c r="I6" s="56"/>
      <c r="J6" s="56">
        <f>IF((D6+E6)&gt;$H$1,(D6+E6)-$H$1,0)</f>
        <v>0</v>
      </c>
      <c r="K6" s="57"/>
      <c r="N6" s="54">
        <v>45992</v>
      </c>
      <c r="O6" s="55">
        <v>22.02</v>
      </c>
      <c r="P6" s="56">
        <v>3.35</v>
      </c>
      <c r="Q6" s="56"/>
      <c r="R6" s="111">
        <f>O6+P6-$R$2</f>
        <v>5.370000000000001</v>
      </c>
    </row>
    <row r="7" spans="1:18" ht="15.75" thickBot="1" x14ac:dyDescent="0.25">
      <c r="A7" s="50">
        <v>45352</v>
      </c>
      <c r="B7" s="51">
        <f>Master!$M$9</f>
        <v>500</v>
      </c>
      <c r="C7" s="52"/>
      <c r="D7" s="52">
        <v>0</v>
      </c>
      <c r="E7" s="52">
        <f>Master!$P$9</f>
        <v>16.18</v>
      </c>
      <c r="F7" s="52"/>
      <c r="G7" s="52"/>
      <c r="H7" s="52"/>
      <c r="I7" s="52"/>
      <c r="J7" s="52">
        <f>IF((D7+E7)&gt;$H$1,(D7+E7)-$H$1,0)</f>
        <v>0</v>
      </c>
      <c r="K7" s="53"/>
      <c r="N7" s="173"/>
      <c r="O7" s="174"/>
      <c r="P7" s="175"/>
      <c r="Q7" s="175"/>
      <c r="R7" s="176">
        <f>SUM(R4:R6)</f>
        <v>16.444999999999997</v>
      </c>
    </row>
    <row r="8" spans="1:18" x14ac:dyDescent="0.2">
      <c r="A8" s="54">
        <v>45383</v>
      </c>
      <c r="B8" s="55">
        <f>Master!$M$9</f>
        <v>500</v>
      </c>
      <c r="C8" s="56">
        <v>5.0999999999999996</v>
      </c>
      <c r="D8" s="56">
        <v>0</v>
      </c>
      <c r="E8" s="56">
        <f>Master!$P$9</f>
        <v>16.18</v>
      </c>
      <c r="F8" s="56"/>
      <c r="G8" s="56"/>
      <c r="H8" s="56"/>
      <c r="I8" s="56"/>
      <c r="J8" s="56">
        <f>IF((D8+E8)&gt;$H$1,(D8+E8)-$H$1,0)</f>
        <v>0</v>
      </c>
      <c r="K8" s="57"/>
    </row>
    <row r="9" spans="1:18" x14ac:dyDescent="0.2">
      <c r="A9" s="50">
        <v>45413</v>
      </c>
      <c r="B9" s="51">
        <f>Master!$M$9</f>
        <v>500</v>
      </c>
      <c r="C9" s="52">
        <v>7.85</v>
      </c>
      <c r="D9" s="52">
        <v>4.5250000000000004</v>
      </c>
      <c r="E9" s="52">
        <f>Master!$P$9</f>
        <v>16.18</v>
      </c>
      <c r="F9" s="52"/>
      <c r="G9" s="52"/>
      <c r="H9" s="52"/>
      <c r="I9" s="52"/>
      <c r="J9" s="52">
        <f>IF((D9+E9)&gt;$H$1,(D9+E9)-$H$1,0)</f>
        <v>0.70499999999999829</v>
      </c>
      <c r="K9" s="53"/>
    </row>
    <row r="10" spans="1:18" x14ac:dyDescent="0.2">
      <c r="A10" s="54">
        <v>45444</v>
      </c>
      <c r="B10" s="55">
        <f>Master!$M$9</f>
        <v>500</v>
      </c>
      <c r="C10" s="56">
        <v>10.220000000000001</v>
      </c>
      <c r="D10" s="56">
        <v>17.399999999999999</v>
      </c>
      <c r="E10" s="56">
        <f>Master!$P$9</f>
        <v>16.18</v>
      </c>
      <c r="F10" s="56"/>
      <c r="G10" s="56"/>
      <c r="H10" s="56"/>
      <c r="I10" s="56"/>
      <c r="J10" s="56">
        <f>IF((C10+D10)&gt;$H$1,(C10+D10)-$H$1,0)</f>
        <v>7.6199999999999974</v>
      </c>
      <c r="K10" s="57" t="s">
        <v>91</v>
      </c>
    </row>
    <row r="11" spans="1:18" x14ac:dyDescent="0.2">
      <c r="A11" s="50">
        <v>45474</v>
      </c>
      <c r="B11" s="51">
        <f>Master!$M$9</f>
        <v>500</v>
      </c>
      <c r="C11" s="52">
        <v>11.67</v>
      </c>
      <c r="D11" s="52">
        <v>23.45</v>
      </c>
      <c r="E11" s="52">
        <f>Master!$P$9</f>
        <v>16.18</v>
      </c>
      <c r="F11" s="52"/>
      <c r="G11" s="52"/>
      <c r="H11" s="52"/>
      <c r="I11" s="52"/>
      <c r="J11" s="52">
        <f>IF((C11+D11)&gt;$H$1,(C11+D11)-$H$1,0)</f>
        <v>15.119999999999997</v>
      </c>
      <c r="K11" s="53" t="s">
        <v>91</v>
      </c>
    </row>
    <row r="12" spans="1:18" x14ac:dyDescent="0.2">
      <c r="A12" s="54">
        <v>45505</v>
      </c>
      <c r="B12" s="55">
        <f>Master!$M$9</f>
        <v>500</v>
      </c>
      <c r="C12" s="56">
        <v>13.38</v>
      </c>
      <c r="D12" s="56">
        <v>18.125</v>
      </c>
      <c r="E12" s="56">
        <v>14.5</v>
      </c>
      <c r="F12" s="56"/>
      <c r="G12" s="56"/>
      <c r="H12" s="56"/>
      <c r="I12" s="56"/>
      <c r="J12" s="56">
        <f>IF((C12+D12)&gt;$H$1,(C12+D12)-$H$1,0)</f>
        <v>11.505000000000003</v>
      </c>
      <c r="K12" s="57" t="s">
        <v>91</v>
      </c>
    </row>
    <row r="13" spans="1:18" x14ac:dyDescent="0.2">
      <c r="A13" s="50">
        <v>45536</v>
      </c>
      <c r="B13" s="51">
        <f>Master!$M$9</f>
        <v>500</v>
      </c>
      <c r="C13" s="52">
        <v>10.43</v>
      </c>
      <c r="D13" s="52">
        <v>0</v>
      </c>
      <c r="E13" s="52">
        <v>14.5</v>
      </c>
      <c r="F13" s="52"/>
      <c r="G13" s="52"/>
      <c r="H13" s="52"/>
      <c r="I13" s="52"/>
      <c r="J13" s="52">
        <f>IF((D13+E13)&gt;$H$1,(D13+E13)-$H$1,0)</f>
        <v>0</v>
      </c>
      <c r="K13" s="53"/>
    </row>
    <row r="14" spans="1:18" x14ac:dyDescent="0.2">
      <c r="A14" s="54">
        <v>45566</v>
      </c>
      <c r="B14" s="55">
        <f>Master!$M$9</f>
        <v>500</v>
      </c>
      <c r="C14" s="56">
        <v>10.57</v>
      </c>
      <c r="D14" s="56">
        <v>6.9249999999999998</v>
      </c>
      <c r="E14" s="56">
        <v>14.5</v>
      </c>
      <c r="F14" s="56"/>
      <c r="G14" s="56"/>
      <c r="H14" s="56"/>
      <c r="I14" s="56"/>
      <c r="J14" s="56">
        <f>IF((D14+E14)&gt;$H$1,(D14+E14)-$H$1,0)</f>
        <v>1.4250000000000007</v>
      </c>
      <c r="K14" s="57"/>
    </row>
    <row r="15" spans="1:18" x14ac:dyDescent="0.2">
      <c r="A15" s="50">
        <v>45597</v>
      </c>
      <c r="B15" s="51">
        <f>Master!$M$9</f>
        <v>500</v>
      </c>
      <c r="C15" s="52">
        <v>10.48</v>
      </c>
      <c r="D15" s="52">
        <v>2.75</v>
      </c>
      <c r="E15" s="52">
        <v>14.5</v>
      </c>
      <c r="F15" s="52"/>
      <c r="G15" s="52"/>
      <c r="H15" s="52">
        <v>706.46400000000006</v>
      </c>
      <c r="I15" s="52" t="s">
        <v>117</v>
      </c>
      <c r="J15" s="52">
        <f>IF((D15+E15)&gt;$H$1,(D15+E15)-$H$1,0)</f>
        <v>0</v>
      </c>
      <c r="K15" s="53"/>
    </row>
    <row r="16" spans="1:18" ht="15.75" thickBot="1" x14ac:dyDescent="0.25">
      <c r="A16" s="58">
        <v>45627</v>
      </c>
      <c r="B16" s="59">
        <v>500</v>
      </c>
      <c r="C16" s="60">
        <v>10.72</v>
      </c>
      <c r="D16" s="60">
        <v>0.78</v>
      </c>
      <c r="E16" s="60">
        <v>14.5</v>
      </c>
      <c r="F16" s="60"/>
      <c r="G16" s="60"/>
      <c r="H16" s="60"/>
      <c r="I16" s="60"/>
      <c r="J16" s="60">
        <f>IF((D16+E16)&gt;$H$1,(D16+E16)-$H$1,0)</f>
        <v>0</v>
      </c>
      <c r="K16" s="61"/>
      <c r="L16" s="3">
        <f>SUM(B5:B16)-SUM(C5:C16)-SUM(D5:D16)-SUM(E5:E16)-SUM(F5:F16)-SUM(G5:G16)-SUM(H5:H16)+SUM(J5:J16)</f>
        <v>4979.7759999999998</v>
      </c>
    </row>
    <row r="17" spans="1:12" x14ac:dyDescent="0.2">
      <c r="A17" s="50">
        <v>45658</v>
      </c>
      <c r="B17" s="69">
        <v>500</v>
      </c>
      <c r="C17" s="70">
        <v>8.3699999999999992</v>
      </c>
      <c r="D17" s="70">
        <v>0.73</v>
      </c>
      <c r="E17" s="70">
        <v>14.5</v>
      </c>
      <c r="F17" s="70"/>
      <c r="G17" s="70"/>
      <c r="H17" s="70"/>
      <c r="I17" s="70"/>
      <c r="J17" s="70">
        <f>IF((C17+D17)&gt;$H$1,(C17+D17)-$H$1,0)</f>
        <v>0</v>
      </c>
      <c r="K17" s="71"/>
    </row>
    <row r="18" spans="1:12" x14ac:dyDescent="0.2">
      <c r="A18" s="54">
        <v>45689</v>
      </c>
      <c r="B18" s="55">
        <v>500</v>
      </c>
      <c r="C18" s="56">
        <v>9.73</v>
      </c>
      <c r="D18" s="56">
        <v>0.05</v>
      </c>
      <c r="E18" s="56">
        <v>14.5</v>
      </c>
      <c r="F18" s="56"/>
      <c r="G18" s="56"/>
      <c r="H18" s="56"/>
      <c r="I18" s="56"/>
      <c r="J18" s="56">
        <f>IF((C18+D18)&gt;$H$1,(C18+D18)-$H$1,0)</f>
        <v>0</v>
      </c>
      <c r="K18" s="57"/>
    </row>
    <row r="19" spans="1:12" x14ac:dyDescent="0.2">
      <c r="A19" s="50">
        <v>45717</v>
      </c>
      <c r="B19" s="51">
        <v>500</v>
      </c>
      <c r="C19" s="52">
        <v>12.37</v>
      </c>
      <c r="D19" s="52">
        <v>3.4750000000000001</v>
      </c>
      <c r="E19" s="52">
        <v>14.5</v>
      </c>
      <c r="F19" s="52"/>
      <c r="G19" s="52"/>
      <c r="H19" s="52"/>
      <c r="I19" s="52"/>
      <c r="J19" s="52">
        <f>IF((C19+D19)&gt;$H$1,(C19+D19)-$H$1,0)</f>
        <v>0</v>
      </c>
      <c r="K19" s="53"/>
    </row>
    <row r="20" spans="1:12" x14ac:dyDescent="0.2">
      <c r="A20" s="54">
        <v>45748</v>
      </c>
      <c r="B20" s="55">
        <v>500</v>
      </c>
      <c r="C20" s="56">
        <v>10.34</v>
      </c>
      <c r="D20" s="56"/>
      <c r="E20" s="56">
        <v>14.5</v>
      </c>
      <c r="F20" s="56"/>
      <c r="G20" s="56"/>
      <c r="H20" s="56"/>
      <c r="I20" s="56"/>
      <c r="J20" s="56">
        <f>IF((C20+D20)&gt;$H$1,(C20+D20)-$H$1,0)</f>
        <v>0</v>
      </c>
      <c r="K20" s="57"/>
    </row>
    <row r="21" spans="1:12" x14ac:dyDescent="0.2">
      <c r="A21" s="50">
        <v>45778</v>
      </c>
      <c r="B21" s="51">
        <v>0</v>
      </c>
      <c r="C21" s="52">
        <v>10.63</v>
      </c>
      <c r="D21" s="52">
        <v>10.074999999999999</v>
      </c>
      <c r="E21" s="52">
        <v>14.5</v>
      </c>
      <c r="F21" s="52"/>
      <c r="G21" s="52"/>
      <c r="H21" s="52"/>
      <c r="I21" s="52" t="s">
        <v>145</v>
      </c>
      <c r="J21" s="52">
        <v>0</v>
      </c>
      <c r="K21" s="53"/>
    </row>
    <row r="22" spans="1:12" x14ac:dyDescent="0.2">
      <c r="A22" s="54">
        <v>45809</v>
      </c>
      <c r="B22" s="55">
        <v>550</v>
      </c>
      <c r="C22" s="56">
        <v>13.24</v>
      </c>
      <c r="D22" s="56">
        <v>7.1</v>
      </c>
      <c r="E22" s="56">
        <v>16.18</v>
      </c>
      <c r="F22" s="56"/>
      <c r="G22" s="56"/>
      <c r="H22" s="56"/>
      <c r="I22" s="56" t="s">
        <v>144</v>
      </c>
      <c r="J22" s="56">
        <v>0</v>
      </c>
      <c r="K22" s="57"/>
    </row>
    <row r="23" spans="1:12" x14ac:dyDescent="0.2">
      <c r="A23" s="50">
        <v>45839</v>
      </c>
      <c r="B23" s="51">
        <v>550</v>
      </c>
      <c r="C23" s="52">
        <v>5.77</v>
      </c>
      <c r="D23" s="52">
        <v>3.8</v>
      </c>
      <c r="E23" s="52">
        <v>16.18</v>
      </c>
      <c r="F23" s="52"/>
      <c r="G23" s="52"/>
      <c r="H23" s="52">
        <v>52</v>
      </c>
      <c r="I23" s="52" t="s">
        <v>146</v>
      </c>
      <c r="J23" s="52">
        <f>IF((C23+D23)&gt;$H$1,(C23+D23)-$H$1,0)</f>
        <v>0</v>
      </c>
      <c r="K23" s="53"/>
    </row>
    <row r="24" spans="1:12" x14ac:dyDescent="0.2">
      <c r="A24" s="54">
        <v>45870</v>
      </c>
      <c r="B24" s="55">
        <v>550</v>
      </c>
      <c r="C24" s="56">
        <v>16.11</v>
      </c>
      <c r="D24" s="56">
        <v>14.4</v>
      </c>
      <c r="E24" s="56">
        <v>16.18</v>
      </c>
      <c r="F24" s="56"/>
      <c r="G24" s="56"/>
      <c r="H24" s="56"/>
      <c r="I24" s="56"/>
      <c r="J24" s="56">
        <f>IF((C24+D24)&gt;$H$1,(C24+D24)-$H$1,0)</f>
        <v>10.509999999999998</v>
      </c>
      <c r="K24" s="57"/>
    </row>
    <row r="25" spans="1:12" x14ac:dyDescent="0.2">
      <c r="A25" s="50">
        <v>45901</v>
      </c>
      <c r="B25" s="51">
        <v>550</v>
      </c>
      <c r="C25" s="52">
        <v>17.239999999999998</v>
      </c>
      <c r="D25" s="52">
        <v>3.3250000000000002</v>
      </c>
      <c r="E25" s="52">
        <v>16.18</v>
      </c>
      <c r="F25" s="52"/>
      <c r="G25" s="52"/>
      <c r="H25" s="52"/>
      <c r="I25" s="52"/>
      <c r="J25" s="52">
        <f>IF((C25+D25)&gt;$H$1,(C25+D25)-$H$1,0)</f>
        <v>0.56499999999999773</v>
      </c>
      <c r="K25" s="53"/>
    </row>
    <row r="26" spans="1:12" x14ac:dyDescent="0.2">
      <c r="A26" s="54">
        <v>45931</v>
      </c>
      <c r="B26" s="55">
        <v>550</v>
      </c>
      <c r="C26" s="56">
        <v>8.8699999999999992</v>
      </c>
      <c r="D26" s="56">
        <v>0</v>
      </c>
      <c r="E26" s="56">
        <v>16.18</v>
      </c>
      <c r="F26" s="56"/>
      <c r="G26" s="56"/>
      <c r="H26" s="56"/>
      <c r="I26" s="56"/>
      <c r="J26" s="56">
        <f>IF((C26+D26)&gt;$H$1,(C26+D26)-$H$1,0)</f>
        <v>0</v>
      </c>
      <c r="K26" s="57"/>
    </row>
    <row r="27" spans="1:12" x14ac:dyDescent="0.2">
      <c r="A27" s="50">
        <v>45962</v>
      </c>
      <c r="B27" s="51">
        <v>550</v>
      </c>
      <c r="C27" s="52">
        <v>15.07</v>
      </c>
      <c r="D27" s="52">
        <v>4.95</v>
      </c>
      <c r="E27" s="52">
        <v>16.18</v>
      </c>
      <c r="F27" s="52"/>
      <c r="G27" s="52"/>
      <c r="H27" s="8">
        <v>706.46400000000006</v>
      </c>
      <c r="I27" s="8" t="s">
        <v>117</v>
      </c>
      <c r="J27" s="52">
        <f>IF((C27+D27)&gt;$H$1,(C27+D27)-$H$1,0)</f>
        <v>1.9999999999999574E-2</v>
      </c>
      <c r="K27" s="53"/>
    </row>
    <row r="28" spans="1:12" ht="15.75" thickBot="1" x14ac:dyDescent="0.25">
      <c r="A28" s="58">
        <v>45992</v>
      </c>
      <c r="B28" s="59">
        <v>550</v>
      </c>
      <c r="C28" s="60">
        <v>22.02</v>
      </c>
      <c r="D28" s="60">
        <v>3.35</v>
      </c>
      <c r="E28" s="60">
        <v>16.18</v>
      </c>
      <c r="F28" s="60"/>
      <c r="G28" s="60"/>
      <c r="H28" s="60"/>
      <c r="I28" s="60"/>
      <c r="J28" s="60">
        <f>IF((C28+D28)&gt;$H$1,(C28+D28)-$H$1,0)</f>
        <v>5.370000000000001</v>
      </c>
      <c r="K28" s="61"/>
      <c r="L28" s="3">
        <f>SUM(B17:B28)-SUM(C17:C28)-SUM(D17:D28)-SUM(E17:E28)-SUM(F17:F28)-SUM(G17:G28)-SUM(H17:H28)+SUM(J17:J28)</f>
        <v>4721.2259999999997</v>
      </c>
    </row>
    <row r="29" spans="1:12" x14ac:dyDescent="0.2">
      <c r="A29" s="50">
        <v>46023</v>
      </c>
      <c r="B29" s="69"/>
      <c r="C29" s="70"/>
      <c r="D29" s="70"/>
      <c r="E29" s="70"/>
      <c r="F29" s="70"/>
      <c r="G29" s="70"/>
      <c r="H29" s="70"/>
      <c r="I29" s="70"/>
      <c r="J29" s="70">
        <f>IF((C29+D29)&gt;$H$1,(C29+D29)-$H$1,0)</f>
        <v>0</v>
      </c>
      <c r="K29" s="71"/>
    </row>
    <row r="30" spans="1:12" x14ac:dyDescent="0.2">
      <c r="A30" s="54">
        <v>46054</v>
      </c>
      <c r="B30" s="55"/>
      <c r="C30" s="56"/>
      <c r="D30" s="56"/>
      <c r="E30" s="56"/>
      <c r="F30" s="56"/>
      <c r="G30" s="56"/>
      <c r="H30" s="56"/>
      <c r="I30" s="56"/>
      <c r="J30" s="56">
        <f>IF((C30+D30)&gt;$H$1,(C30+D30)-$H$1,0)</f>
        <v>0</v>
      </c>
      <c r="K30" s="57"/>
    </row>
    <row r="31" spans="1:12" x14ac:dyDescent="0.2">
      <c r="A31" s="50">
        <v>46082</v>
      </c>
      <c r="B31" s="51"/>
      <c r="C31" s="52"/>
      <c r="D31" s="52"/>
      <c r="E31" s="52"/>
      <c r="F31" s="52"/>
      <c r="G31" s="52"/>
      <c r="H31" s="52"/>
      <c r="I31" s="52"/>
      <c r="J31" s="52">
        <f>IF((C31+D31)&gt;$H$1,(C31+D31)-$H$1,0)</f>
        <v>0</v>
      </c>
      <c r="K31" s="53"/>
    </row>
    <row r="32" spans="1:12" x14ac:dyDescent="0.2">
      <c r="A32" s="54">
        <v>46113</v>
      </c>
      <c r="B32" s="55"/>
      <c r="C32" s="56"/>
      <c r="D32" s="56"/>
      <c r="E32" s="56"/>
      <c r="F32" s="56"/>
      <c r="G32" s="56"/>
      <c r="H32" s="56"/>
      <c r="I32" s="56"/>
      <c r="J32" s="56">
        <f>IF((C32+D32)&gt;$H$1,(C32+D32)-$H$1,0)</f>
        <v>0</v>
      </c>
      <c r="K32" s="57"/>
    </row>
    <row r="33" spans="1:12" x14ac:dyDescent="0.2">
      <c r="A33" s="50">
        <v>46143</v>
      </c>
      <c r="B33" s="51"/>
      <c r="C33" s="52"/>
      <c r="D33" s="52"/>
      <c r="E33" s="52"/>
      <c r="F33" s="52"/>
      <c r="G33" s="52"/>
      <c r="H33" s="52"/>
      <c r="I33" s="52"/>
      <c r="J33" s="52">
        <f>IF((C33+D33)&gt;$H$1,(C33+D33)-$H$1,0)</f>
        <v>0</v>
      </c>
      <c r="K33" s="53"/>
    </row>
    <row r="34" spans="1:12" x14ac:dyDescent="0.2">
      <c r="A34" s="54">
        <v>46174</v>
      </c>
      <c r="B34" s="55"/>
      <c r="C34" s="56"/>
      <c r="D34" s="56"/>
      <c r="E34" s="56"/>
      <c r="F34" s="56"/>
      <c r="G34" s="56"/>
      <c r="H34" s="56"/>
      <c r="I34" s="56"/>
      <c r="J34" s="56">
        <f>IF((C34+D34)&gt;$H$1,(C34+D34)-$H$1,0)</f>
        <v>0</v>
      </c>
      <c r="K34" s="57"/>
    </row>
    <row r="35" spans="1:12" x14ac:dyDescent="0.2">
      <c r="A35" s="50">
        <v>46204</v>
      </c>
      <c r="B35" s="51"/>
      <c r="C35" s="52"/>
      <c r="D35" s="52"/>
      <c r="E35" s="52"/>
      <c r="F35" s="52"/>
      <c r="G35" s="52"/>
      <c r="H35" s="52"/>
      <c r="I35" s="52"/>
      <c r="J35" s="52">
        <f>IF((C35+D35)&gt;$H$1,(C35+D35)-$H$1,0)</f>
        <v>0</v>
      </c>
      <c r="K35" s="53"/>
    </row>
    <row r="36" spans="1:12" x14ac:dyDescent="0.2">
      <c r="A36" s="54">
        <v>46235</v>
      </c>
      <c r="B36" s="55"/>
      <c r="C36" s="56"/>
      <c r="D36" s="56"/>
      <c r="E36" s="56"/>
      <c r="F36" s="56"/>
      <c r="G36" s="56"/>
      <c r="H36" s="56"/>
      <c r="I36" s="56"/>
      <c r="J36" s="56">
        <f>IF((C36+D36)&gt;$H$1,(C36+D36)-$H$1,0)</f>
        <v>0</v>
      </c>
      <c r="K36" s="57"/>
    </row>
    <row r="37" spans="1:12" x14ac:dyDescent="0.2">
      <c r="A37" s="50">
        <v>46266</v>
      </c>
      <c r="B37" s="51"/>
      <c r="C37" s="52"/>
      <c r="D37" s="52"/>
      <c r="E37" s="52"/>
      <c r="F37" s="52"/>
      <c r="G37" s="52"/>
      <c r="H37" s="52"/>
      <c r="I37" s="52"/>
      <c r="J37" s="52">
        <f>IF((C37+D37)&gt;$H$1,(C37+D37)-$H$1,0)</f>
        <v>0</v>
      </c>
      <c r="K37" s="53"/>
    </row>
    <row r="38" spans="1:12" x14ac:dyDescent="0.2">
      <c r="A38" s="54">
        <v>46296</v>
      </c>
      <c r="B38" s="55"/>
      <c r="C38" s="56"/>
      <c r="D38" s="56"/>
      <c r="E38" s="56"/>
      <c r="F38" s="56"/>
      <c r="G38" s="56"/>
      <c r="H38" s="56"/>
      <c r="I38" s="56"/>
      <c r="J38" s="56">
        <f>IF((C38+D38)&gt;$H$1,(C38+D38)-$H$1,0)</f>
        <v>0</v>
      </c>
      <c r="K38" s="57"/>
    </row>
    <row r="39" spans="1:12" x14ac:dyDescent="0.2">
      <c r="A39" s="50">
        <v>46327</v>
      </c>
      <c r="B39" s="51"/>
      <c r="C39" s="52"/>
      <c r="D39" s="52"/>
      <c r="E39" s="52"/>
      <c r="F39" s="52"/>
      <c r="G39" s="52"/>
      <c r="H39" s="52"/>
      <c r="I39" s="52"/>
      <c r="J39" s="52">
        <f>IF((C39+D39)&gt;$H$1,(C39+D39)-$H$1,0)</f>
        <v>0</v>
      </c>
      <c r="K39" s="53"/>
    </row>
    <row r="40" spans="1:12" ht="15.75" thickBot="1" x14ac:dyDescent="0.25">
      <c r="A40" s="58">
        <v>46357</v>
      </c>
      <c r="B40" s="59"/>
      <c r="C40" s="60"/>
      <c r="D40" s="60"/>
      <c r="E40" s="60"/>
      <c r="F40" s="60"/>
      <c r="G40" s="60"/>
      <c r="H40" s="60"/>
      <c r="I40" s="60"/>
      <c r="J40" s="60">
        <f>IF((C40+D40)&gt;$H$1,(C40+D40)-$H$1,0)</f>
        <v>0</v>
      </c>
      <c r="K40" s="61"/>
      <c r="L40" s="3">
        <f>SUM(B29:B40)-SUM(C29:C40)-SUM(D29:D40)-SUM(E29:E40)-SUM(F29:F40)-SUM(G29:G40)-SUM(H29:H40)+SUM(J29:J40)</f>
        <v>0</v>
      </c>
    </row>
    <row r="41" spans="1:12" x14ac:dyDescent="0.2">
      <c r="A41" s="2"/>
      <c r="B41" s="3">
        <f>SUM(B29:B40)</f>
        <v>0</v>
      </c>
      <c r="C41" s="5">
        <f t="shared" ref="C41" si="0">SUM(C29:C40)</f>
        <v>0</v>
      </c>
      <c r="D41" s="5">
        <f>SUM(D29:D40)</f>
        <v>0</v>
      </c>
      <c r="E41" s="5">
        <f t="shared" ref="E41:H41" si="1">SUM(E29:E40)</f>
        <v>0</v>
      </c>
      <c r="F41" s="5">
        <f t="shared" si="1"/>
        <v>0</v>
      </c>
      <c r="G41" s="5">
        <f t="shared" si="1"/>
        <v>0</v>
      </c>
      <c r="H41" s="5">
        <f t="shared" si="1"/>
        <v>0</v>
      </c>
      <c r="I41" s="5"/>
      <c r="J41" s="5">
        <f t="shared" ref="J41" si="2">SUM(J29:J40)</f>
        <v>0</v>
      </c>
      <c r="K41" s="5"/>
    </row>
    <row r="42" spans="1:12" x14ac:dyDescent="0.2">
      <c r="A42" s="2" t="s">
        <v>5</v>
      </c>
      <c r="B42" s="3">
        <f>B41-C41-D41-E41-F41-G41-H41+J41</f>
        <v>0</v>
      </c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2" t="s">
        <v>15</v>
      </c>
      <c r="B43" s="4">
        <f>B42/65000</f>
        <v>0</v>
      </c>
      <c r="C43" s="2"/>
      <c r="D43" s="2"/>
      <c r="E43" s="2"/>
      <c r="F43" s="2"/>
      <c r="G43" s="2"/>
      <c r="H43" s="2"/>
      <c r="I43" s="2"/>
      <c r="J43" s="2"/>
      <c r="K43" s="2"/>
    </row>
    <row r="44" spans="1:12" x14ac:dyDescent="0.2">
      <c r="A44" s="17" t="s">
        <v>94</v>
      </c>
      <c r="B44" s="18"/>
      <c r="C44" s="19" t="s">
        <v>101</v>
      </c>
      <c r="D44" s="20">
        <f ca="1">TODAY()</f>
        <v>46029</v>
      </c>
      <c r="E44" s="17"/>
      <c r="F44" s="17"/>
      <c r="G44" s="17"/>
      <c r="H44" s="17"/>
      <c r="I44" s="17"/>
      <c r="J44" s="17"/>
      <c r="K44" s="17"/>
    </row>
  </sheetData>
  <pageMargins left="0.7" right="0.7" top="0.75" bottom="0.75" header="0.3" footer="0.3"/>
  <pageSetup orientation="portrait" horizontalDpi="1200" verticalDpi="1200" r:id="rId1"/>
  <headerFooter>
    <oddHeader>&amp;L&amp;"Arial"&amp;10&amp;K000000&amp;1#</oddHeader>
    <oddFooter>&amp;L&amp;1#&amp;"Arial"&amp;10&amp;K000000Saudi Aramco: Company General Use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6F73-19C3-4643-9300-63F70CEDAA90}">
  <sheetPr>
    <tabColor theme="9"/>
  </sheetPr>
  <dimension ref="A1:R44"/>
  <sheetViews>
    <sheetView workbookViewId="0">
      <pane ySplit="3" topLeftCell="A4" activePane="bottomLeft" state="frozen"/>
      <selection activeCell="E24" sqref="E24"/>
      <selection pane="bottomLeft" activeCell="L26" sqref="L26"/>
    </sheetView>
  </sheetViews>
  <sheetFormatPr defaultColWidth="8.609375" defaultRowHeight="15" x14ac:dyDescent="0.2"/>
  <cols>
    <col min="1" max="1" width="9.953125" customWidth="1"/>
    <col min="2" max="2" width="14.66015625" bestFit="1" customWidth="1"/>
    <col min="3" max="3" width="13.1796875" bestFit="1" customWidth="1"/>
    <col min="4" max="5" width="12.23828125" bestFit="1" customWidth="1"/>
    <col min="6" max="6" width="13.44921875" bestFit="1" customWidth="1"/>
    <col min="7" max="7" width="12.9140625" bestFit="1" customWidth="1"/>
    <col min="8" max="8" width="14.66015625" bestFit="1" customWidth="1"/>
    <col min="9" max="9" width="18.83203125" customWidth="1"/>
    <col min="10" max="10" width="13.1796875" bestFit="1" customWidth="1"/>
    <col min="11" max="11" width="12.23828125" bestFit="1" customWidth="1"/>
    <col min="12" max="12" width="13.71875" bestFit="1" customWidth="1"/>
    <col min="14" max="14" width="10.0859375" customWidth="1"/>
    <col min="15" max="15" width="11.43359375" customWidth="1"/>
    <col min="16" max="16" width="12.64453125" bestFit="1" customWidth="1"/>
    <col min="17" max="17" width="10.35546875" bestFit="1" customWidth="1"/>
    <col min="18" max="18" width="15.6015625" customWidth="1"/>
  </cols>
  <sheetData>
    <row r="1" spans="1:18" x14ac:dyDescent="0.2">
      <c r="A1" s="79" t="s">
        <v>0</v>
      </c>
      <c r="B1" s="80">
        <f>Master!B13</f>
        <v>2105</v>
      </c>
      <c r="C1" s="81" t="s">
        <v>38</v>
      </c>
      <c r="D1" s="80" t="str">
        <f>Master!J13</f>
        <v>P1-65</v>
      </c>
      <c r="E1" s="81" t="s">
        <v>2</v>
      </c>
      <c r="F1" s="80">
        <f>Master!N13</f>
        <v>1061665988</v>
      </c>
      <c r="G1" s="81" t="s">
        <v>27</v>
      </c>
      <c r="H1" s="82">
        <f>Master!O13</f>
        <v>25</v>
      </c>
      <c r="I1" s="83"/>
      <c r="J1" s="83"/>
      <c r="K1" s="65"/>
      <c r="N1" s="79" t="s">
        <v>0</v>
      </c>
      <c r="O1" s="80">
        <f>Master!B13</f>
        <v>2105</v>
      </c>
      <c r="P1" s="81"/>
      <c r="Q1" s="81" t="s">
        <v>2</v>
      </c>
      <c r="R1" s="121">
        <f>Master!N13</f>
        <v>1061665988</v>
      </c>
    </row>
    <row r="2" spans="1:18" ht="15.75" thickBot="1" x14ac:dyDescent="0.25">
      <c r="A2" s="84" t="s">
        <v>28</v>
      </c>
      <c r="B2" s="85" t="str">
        <f>Master!C13</f>
        <v>Mikhail</v>
      </c>
      <c r="C2" s="86" t="s">
        <v>34</v>
      </c>
      <c r="D2" s="85" t="str">
        <f>Master!I13</f>
        <v>3366 3419</v>
      </c>
      <c r="E2" s="86" t="s">
        <v>29</v>
      </c>
      <c r="F2" s="87">
        <f>Master!K13</f>
        <v>45677</v>
      </c>
      <c r="G2" s="86" t="s">
        <v>30</v>
      </c>
      <c r="H2" s="87">
        <f>Master!L13</f>
        <v>46041</v>
      </c>
      <c r="I2" s="88"/>
      <c r="J2" s="88"/>
      <c r="K2" s="89"/>
      <c r="N2" s="84" t="s">
        <v>28</v>
      </c>
      <c r="O2" s="85" t="str">
        <f>Master!C13</f>
        <v>Mikhail</v>
      </c>
      <c r="P2" s="86"/>
      <c r="Q2" s="122" t="s">
        <v>27</v>
      </c>
      <c r="R2" s="128">
        <f>Master!O13</f>
        <v>25</v>
      </c>
    </row>
    <row r="3" spans="1:18" x14ac:dyDescent="0.2">
      <c r="A3" s="14" t="s">
        <v>31</v>
      </c>
      <c r="B3" s="14" t="s">
        <v>32</v>
      </c>
      <c r="C3" s="14" t="s">
        <v>2</v>
      </c>
      <c r="D3" s="14" t="s">
        <v>33</v>
      </c>
      <c r="E3" s="14" t="s">
        <v>3</v>
      </c>
      <c r="F3" s="14" t="s">
        <v>93</v>
      </c>
      <c r="G3" s="14" t="s">
        <v>98</v>
      </c>
      <c r="H3" s="14" t="s">
        <v>96</v>
      </c>
      <c r="I3" s="14" t="s">
        <v>97</v>
      </c>
      <c r="J3" s="14" t="s">
        <v>95</v>
      </c>
      <c r="K3" s="14" t="s">
        <v>103</v>
      </c>
      <c r="N3" s="170" t="s">
        <v>31</v>
      </c>
      <c r="O3" s="171" t="s">
        <v>2</v>
      </c>
      <c r="P3" s="171" t="s">
        <v>171</v>
      </c>
      <c r="Q3" s="171"/>
      <c r="R3" s="172" t="s">
        <v>95</v>
      </c>
    </row>
    <row r="4" spans="1:18" ht="15.75" thickBot="1" x14ac:dyDescent="0.25">
      <c r="A4" s="17" t="s">
        <v>94</v>
      </c>
      <c r="B4" s="18">
        <v>0</v>
      </c>
      <c r="C4" s="19" t="s">
        <v>101</v>
      </c>
      <c r="D4" s="20">
        <v>45291</v>
      </c>
      <c r="E4" s="17"/>
      <c r="F4" s="17"/>
      <c r="G4" s="17"/>
      <c r="H4" s="17"/>
      <c r="I4" s="17"/>
      <c r="J4" s="17"/>
      <c r="K4" s="17"/>
      <c r="N4" s="54">
        <v>45778</v>
      </c>
      <c r="O4" s="55">
        <v>25.27</v>
      </c>
      <c r="P4" s="56">
        <v>12.725</v>
      </c>
      <c r="Q4" s="56"/>
      <c r="R4" s="111">
        <f>O4+P4-$R$2</f>
        <v>12.994999999999997</v>
      </c>
    </row>
    <row r="5" spans="1:18" x14ac:dyDescent="0.2">
      <c r="A5" s="62">
        <v>45292</v>
      </c>
      <c r="B5" s="66">
        <v>425</v>
      </c>
      <c r="C5" s="67">
        <v>11.76</v>
      </c>
      <c r="D5" s="67">
        <v>1.075</v>
      </c>
      <c r="E5" s="67"/>
      <c r="F5" s="67"/>
      <c r="G5" s="67"/>
      <c r="H5" s="67"/>
      <c r="I5" s="67"/>
      <c r="J5" s="67">
        <v>12.834999999999999</v>
      </c>
      <c r="K5" s="68" t="s">
        <v>91</v>
      </c>
      <c r="N5" s="50">
        <v>45809</v>
      </c>
      <c r="O5" s="51">
        <v>21.01</v>
      </c>
      <c r="P5" s="52">
        <v>5.8</v>
      </c>
      <c r="Q5" s="52"/>
      <c r="R5" s="112">
        <f>O5+P5-$R$2</f>
        <v>1.8100000000000023</v>
      </c>
    </row>
    <row r="6" spans="1:18" ht="15.75" thickBot="1" x14ac:dyDescent="0.25">
      <c r="A6" s="54">
        <v>45323</v>
      </c>
      <c r="B6" s="55">
        <v>425</v>
      </c>
      <c r="C6" s="56">
        <v>11.67</v>
      </c>
      <c r="D6" s="56">
        <v>2.5000000000000001E-2</v>
      </c>
      <c r="E6" s="56"/>
      <c r="F6" s="56"/>
      <c r="G6" s="56"/>
      <c r="H6" s="56"/>
      <c r="I6" s="56"/>
      <c r="J6" s="56">
        <v>11.695</v>
      </c>
      <c r="K6" s="57" t="s">
        <v>91</v>
      </c>
      <c r="N6" s="173"/>
      <c r="O6" s="174"/>
      <c r="P6" s="175"/>
      <c r="Q6" s="175"/>
      <c r="R6" s="176">
        <f>SUM(R4:R5)</f>
        <v>14.805</v>
      </c>
    </row>
    <row r="7" spans="1:18" x14ac:dyDescent="0.2">
      <c r="A7" s="50">
        <v>45352</v>
      </c>
      <c r="B7" s="69">
        <v>425</v>
      </c>
      <c r="C7" s="52">
        <v>11.53</v>
      </c>
      <c r="D7" s="52">
        <v>0.6</v>
      </c>
      <c r="E7" s="52"/>
      <c r="F7" s="52"/>
      <c r="G7" s="52"/>
      <c r="H7" s="52"/>
      <c r="I7" s="52"/>
      <c r="J7" s="52">
        <v>12.129999999999999</v>
      </c>
      <c r="K7" s="53" t="s">
        <v>91</v>
      </c>
    </row>
    <row r="8" spans="1:18" x14ac:dyDescent="0.2">
      <c r="A8" s="54">
        <v>45383</v>
      </c>
      <c r="B8" s="55">
        <v>425</v>
      </c>
      <c r="C8" s="56">
        <v>11.21</v>
      </c>
      <c r="D8" s="56">
        <v>3.65</v>
      </c>
      <c r="E8" s="56"/>
      <c r="F8" s="56"/>
      <c r="G8" s="56"/>
      <c r="H8" s="56"/>
      <c r="I8" s="56"/>
      <c r="J8" s="56">
        <v>14.860000000000001</v>
      </c>
      <c r="K8" s="57" t="s">
        <v>91</v>
      </c>
    </row>
    <row r="9" spans="1:18" x14ac:dyDescent="0.2">
      <c r="A9" s="50">
        <v>45413</v>
      </c>
      <c r="B9" s="51">
        <v>425</v>
      </c>
      <c r="C9" s="52">
        <v>14.69</v>
      </c>
      <c r="D9" s="52">
        <v>5.3</v>
      </c>
      <c r="E9" s="52"/>
      <c r="F9" s="52"/>
      <c r="G9" s="52"/>
      <c r="H9" s="52"/>
      <c r="I9" s="52"/>
      <c r="J9" s="52">
        <v>19.989999999999998</v>
      </c>
      <c r="K9" s="53" t="s">
        <v>91</v>
      </c>
    </row>
    <row r="10" spans="1:18" x14ac:dyDescent="0.2">
      <c r="A10" s="54">
        <v>45444</v>
      </c>
      <c r="B10" s="55">
        <v>425</v>
      </c>
      <c r="C10" s="56">
        <v>12.8</v>
      </c>
      <c r="D10" s="56">
        <v>11.324999999999999</v>
      </c>
      <c r="E10" s="56"/>
      <c r="F10" s="56"/>
      <c r="G10" s="56"/>
      <c r="H10" s="56"/>
      <c r="I10" s="56"/>
      <c r="J10" s="56">
        <v>24.125</v>
      </c>
      <c r="K10" s="57" t="s">
        <v>91</v>
      </c>
    </row>
    <row r="11" spans="1:18" x14ac:dyDescent="0.2">
      <c r="A11" s="50">
        <v>45474</v>
      </c>
      <c r="B11" s="69">
        <v>425</v>
      </c>
      <c r="C11" s="52">
        <v>14.95</v>
      </c>
      <c r="D11" s="52">
        <v>18.7</v>
      </c>
      <c r="E11" s="52"/>
      <c r="F11" s="52"/>
      <c r="G11" s="52"/>
      <c r="H11" s="52"/>
      <c r="I11" s="52"/>
      <c r="J11" s="52">
        <v>33.65</v>
      </c>
      <c r="K11" s="53" t="s">
        <v>91</v>
      </c>
    </row>
    <row r="12" spans="1:18" x14ac:dyDescent="0.2">
      <c r="A12" s="54">
        <v>45505</v>
      </c>
      <c r="B12" s="55">
        <v>425</v>
      </c>
      <c r="C12" s="56">
        <v>13.15</v>
      </c>
      <c r="D12" s="56">
        <v>7.9</v>
      </c>
      <c r="E12" s="56"/>
      <c r="F12" s="56"/>
      <c r="G12" s="56"/>
      <c r="H12" s="56">
        <v>706.46400000000006</v>
      </c>
      <c r="I12" s="56" t="s">
        <v>121</v>
      </c>
      <c r="J12" s="56">
        <v>21.05</v>
      </c>
      <c r="K12" s="57" t="s">
        <v>91</v>
      </c>
    </row>
    <row r="13" spans="1:18" x14ac:dyDescent="0.2">
      <c r="A13" s="50">
        <v>45536</v>
      </c>
      <c r="B13" s="69">
        <v>425</v>
      </c>
      <c r="C13" s="52">
        <v>14.37</v>
      </c>
      <c r="D13" s="52">
        <v>9.2750000000000004</v>
      </c>
      <c r="E13" s="52"/>
      <c r="F13" s="52"/>
      <c r="G13" s="52"/>
      <c r="H13" s="52"/>
      <c r="I13" s="52"/>
      <c r="J13" s="52">
        <v>23.645</v>
      </c>
      <c r="K13" s="53" t="s">
        <v>91</v>
      </c>
    </row>
    <row r="14" spans="1:18" x14ac:dyDescent="0.2">
      <c r="A14" s="54">
        <v>45566</v>
      </c>
      <c r="B14" s="55">
        <v>425</v>
      </c>
      <c r="C14" s="56">
        <v>11.62</v>
      </c>
      <c r="D14" s="56">
        <v>2.625</v>
      </c>
      <c r="E14" s="56"/>
      <c r="F14" s="56"/>
      <c r="G14" s="56"/>
      <c r="H14" s="56"/>
      <c r="I14" s="56"/>
      <c r="J14" s="56">
        <v>14.244999999999999</v>
      </c>
      <c r="K14" s="57" t="s">
        <v>91</v>
      </c>
    </row>
    <row r="15" spans="1:18" x14ac:dyDescent="0.2">
      <c r="A15" s="50">
        <v>45597</v>
      </c>
      <c r="B15" s="51">
        <v>425</v>
      </c>
      <c r="C15" s="52">
        <v>13.29</v>
      </c>
      <c r="D15" s="52">
        <v>0.05</v>
      </c>
      <c r="E15" s="52"/>
      <c r="F15" s="52"/>
      <c r="G15" s="52"/>
      <c r="H15" s="52"/>
      <c r="I15" s="52"/>
      <c r="J15" s="52">
        <v>13.34</v>
      </c>
      <c r="K15" s="53" t="s">
        <v>91</v>
      </c>
    </row>
    <row r="16" spans="1:18" ht="15.75" thickBot="1" x14ac:dyDescent="0.25">
      <c r="A16" s="58">
        <v>45627</v>
      </c>
      <c r="B16" s="59">
        <v>425</v>
      </c>
      <c r="C16" s="60">
        <v>12.8</v>
      </c>
      <c r="D16" s="60">
        <v>0</v>
      </c>
      <c r="E16" s="60"/>
      <c r="F16" s="60"/>
      <c r="G16" s="60"/>
      <c r="H16" s="60"/>
      <c r="I16" s="60"/>
      <c r="J16" s="60">
        <v>12.8</v>
      </c>
      <c r="K16" s="61" t="s">
        <v>91</v>
      </c>
      <c r="L16" s="3">
        <f>SUM(B5:B16)-SUM(C5:C16)-SUM(D5:D16)-SUM(E5:E16)-SUM(F5:F16)-SUM(G5:G16)-SUM(H5:H16)+SUM(J5:J16)</f>
        <v>4393.5360000000001</v>
      </c>
    </row>
    <row r="17" spans="1:12" x14ac:dyDescent="0.2">
      <c r="A17" s="50">
        <v>45658</v>
      </c>
      <c r="B17" s="69">
        <v>550</v>
      </c>
      <c r="C17" s="70">
        <v>12.42</v>
      </c>
      <c r="D17" s="70">
        <v>0</v>
      </c>
      <c r="E17" s="70">
        <v>14.5</v>
      </c>
      <c r="F17" s="70">
        <v>4.125</v>
      </c>
      <c r="G17" s="70"/>
      <c r="H17" s="70">
        <v>550</v>
      </c>
      <c r="I17" s="177" t="s">
        <v>131</v>
      </c>
      <c r="J17" s="70">
        <f>IF((C17+D17)&gt;$H$1,(C17+D17)-$H$1,0)</f>
        <v>0</v>
      </c>
      <c r="K17" s="71"/>
    </row>
    <row r="18" spans="1:12" x14ac:dyDescent="0.2">
      <c r="A18" s="54">
        <v>45689</v>
      </c>
      <c r="B18" s="55">
        <v>550</v>
      </c>
      <c r="C18" s="56">
        <v>10.57</v>
      </c>
      <c r="D18" s="56">
        <v>0</v>
      </c>
      <c r="E18" s="56">
        <v>14.5</v>
      </c>
      <c r="F18" s="56">
        <v>16.5</v>
      </c>
      <c r="G18" s="56"/>
      <c r="H18" s="56"/>
      <c r="I18" s="56"/>
      <c r="J18" s="56">
        <f>IF((C18+D18)&gt;$H$1,(C18+D18)-$H$1,0)</f>
        <v>0</v>
      </c>
      <c r="K18" s="57"/>
    </row>
    <row r="19" spans="1:12" x14ac:dyDescent="0.2">
      <c r="A19" s="50">
        <v>45717</v>
      </c>
      <c r="B19" s="51">
        <v>550</v>
      </c>
      <c r="C19" s="52">
        <v>22.2</v>
      </c>
      <c r="D19" s="52">
        <v>3</v>
      </c>
      <c r="E19" s="52">
        <v>14.5</v>
      </c>
      <c r="F19" s="52">
        <v>16.5</v>
      </c>
      <c r="G19" s="52"/>
      <c r="H19" s="52"/>
      <c r="I19" s="52"/>
      <c r="J19" s="52">
        <f>IF((C19+D19)&gt;$H$1,(C19+D19)-$H$1,0)</f>
        <v>0.19999999999999929</v>
      </c>
      <c r="K19" s="53"/>
    </row>
    <row r="20" spans="1:12" x14ac:dyDescent="0.2">
      <c r="A20" s="54">
        <v>45748</v>
      </c>
      <c r="B20" s="55">
        <v>550</v>
      </c>
      <c r="C20" s="56">
        <v>23.1</v>
      </c>
      <c r="D20" s="56">
        <v>0</v>
      </c>
      <c r="E20" s="56">
        <v>14.5</v>
      </c>
      <c r="F20" s="56">
        <v>16.5</v>
      </c>
      <c r="G20" s="56"/>
      <c r="H20" s="56"/>
      <c r="I20" s="56"/>
      <c r="J20" s="56">
        <f>IF((C20+D20)&gt;$H$1,(C20+D20)-$H$1,0)</f>
        <v>0</v>
      </c>
      <c r="K20" s="57"/>
    </row>
    <row r="21" spans="1:12" x14ac:dyDescent="0.2">
      <c r="A21" s="50">
        <v>45778</v>
      </c>
      <c r="B21" s="51">
        <v>550</v>
      </c>
      <c r="C21" s="52">
        <v>25.27</v>
      </c>
      <c r="D21" s="52">
        <v>12.725</v>
      </c>
      <c r="E21" s="52">
        <v>14.5</v>
      </c>
      <c r="F21" s="52">
        <v>16.5</v>
      </c>
      <c r="G21" s="52"/>
      <c r="H21" s="52"/>
      <c r="I21" s="52"/>
      <c r="J21" s="52">
        <f>IF((C21+D21)&gt;$H$1,(C21+D21)-$H$1,0)</f>
        <v>12.994999999999997</v>
      </c>
      <c r="K21" s="53"/>
    </row>
    <row r="22" spans="1:12" x14ac:dyDescent="0.2">
      <c r="A22" s="54">
        <v>45809</v>
      </c>
      <c r="B22" s="55">
        <v>550</v>
      </c>
      <c r="C22" s="56">
        <v>21.01</v>
      </c>
      <c r="D22" s="56">
        <v>5.8</v>
      </c>
      <c r="E22" s="56">
        <v>16.18</v>
      </c>
      <c r="F22" s="56">
        <v>16.5</v>
      </c>
      <c r="G22" s="56"/>
      <c r="H22" s="56"/>
      <c r="I22" s="56"/>
      <c r="J22" s="56">
        <f>IF((C22+D22)&gt;$H$1,(C22+D22)-$H$1,0)</f>
        <v>1.8100000000000023</v>
      </c>
      <c r="K22" s="57"/>
    </row>
    <row r="23" spans="1:12" x14ac:dyDescent="0.2">
      <c r="A23" s="50">
        <v>45839</v>
      </c>
      <c r="B23" s="51">
        <v>550</v>
      </c>
      <c r="C23" s="52">
        <v>18.87</v>
      </c>
      <c r="D23" s="52">
        <v>1.625</v>
      </c>
      <c r="E23" s="52">
        <v>16.18</v>
      </c>
      <c r="F23" s="52">
        <v>16.5</v>
      </c>
      <c r="G23" s="52"/>
      <c r="H23" s="52"/>
      <c r="I23" s="52"/>
      <c r="J23" s="52">
        <f>IF((C23+D23)&gt;$H$1,(C23+D23)-$H$1,0)</f>
        <v>0</v>
      </c>
      <c r="K23" s="53"/>
    </row>
    <row r="24" spans="1:12" x14ac:dyDescent="0.2">
      <c r="A24" s="54">
        <v>45870</v>
      </c>
      <c r="B24" s="55">
        <v>550</v>
      </c>
      <c r="C24" s="56">
        <v>9.18</v>
      </c>
      <c r="D24" s="56">
        <v>7.4999999999999997E-2</v>
      </c>
      <c r="E24" s="56">
        <v>16.18</v>
      </c>
      <c r="F24" s="56">
        <v>16.5</v>
      </c>
      <c r="G24" s="56"/>
      <c r="H24" s="10">
        <v>706.46400000000006</v>
      </c>
      <c r="I24" s="10" t="s">
        <v>121</v>
      </c>
      <c r="J24" s="56">
        <f>IF((C24+D24)&gt;$H$1,(C24+D24)-$H$1,0)</f>
        <v>0</v>
      </c>
      <c r="K24" s="57"/>
    </row>
    <row r="25" spans="1:12" x14ac:dyDescent="0.2">
      <c r="A25" s="50">
        <v>45901</v>
      </c>
      <c r="B25" s="51">
        <v>550</v>
      </c>
      <c r="C25" s="52">
        <v>11.87</v>
      </c>
      <c r="D25" s="52">
        <v>5.375</v>
      </c>
      <c r="E25" s="52">
        <v>16.18</v>
      </c>
      <c r="F25" s="52">
        <v>16.5</v>
      </c>
      <c r="G25" s="52"/>
      <c r="H25" s="52"/>
      <c r="I25" s="52"/>
      <c r="J25" s="52">
        <f>IF((C25+D25)&gt;$H$1,(C25+D25)-$H$1,0)</f>
        <v>0</v>
      </c>
      <c r="K25" s="53"/>
    </row>
    <row r="26" spans="1:12" x14ac:dyDescent="0.2">
      <c r="A26" s="54">
        <v>45931</v>
      </c>
      <c r="B26" s="55">
        <v>550</v>
      </c>
      <c r="C26" s="56">
        <v>18.93</v>
      </c>
      <c r="D26" s="56">
        <v>4.03</v>
      </c>
      <c r="E26" s="56">
        <v>16.18</v>
      </c>
      <c r="F26" s="56">
        <v>16.5</v>
      </c>
      <c r="G26" s="56"/>
      <c r="H26" s="56"/>
      <c r="I26" s="56"/>
      <c r="J26" s="56">
        <f>IF((C26+D26)&gt;$H$1,(C26+D26)-$H$1,0)</f>
        <v>0</v>
      </c>
      <c r="K26" s="57"/>
    </row>
    <row r="27" spans="1:12" x14ac:dyDescent="0.2">
      <c r="A27" s="50">
        <v>45962</v>
      </c>
      <c r="B27" s="51">
        <v>550</v>
      </c>
      <c r="C27" s="52">
        <v>23.22</v>
      </c>
      <c r="D27" s="52">
        <v>0.5</v>
      </c>
      <c r="E27" s="52">
        <v>16.18</v>
      </c>
      <c r="F27" s="52">
        <v>16.5</v>
      </c>
      <c r="G27" s="52"/>
      <c r="H27" s="52"/>
      <c r="I27" s="52"/>
      <c r="J27" s="52">
        <f>IF((C27+D27)&gt;$H$1,(C27+D27)-$H$1,0)</f>
        <v>0</v>
      </c>
      <c r="K27" s="53"/>
    </row>
    <row r="28" spans="1:12" ht="15.75" thickBot="1" x14ac:dyDescent="0.25">
      <c r="A28" s="58">
        <v>45992</v>
      </c>
      <c r="B28" s="59">
        <v>550</v>
      </c>
      <c r="C28" s="60">
        <v>24.75</v>
      </c>
      <c r="D28" s="60">
        <v>0</v>
      </c>
      <c r="E28" s="60">
        <v>16.18</v>
      </c>
      <c r="F28" s="60">
        <v>16.5</v>
      </c>
      <c r="G28" s="60"/>
      <c r="H28" s="60"/>
      <c r="I28" s="60"/>
      <c r="J28" s="60">
        <f>IF((C28+D28)&gt;$H$1,(C28+D28)-$H$1,0)</f>
        <v>0</v>
      </c>
      <c r="K28" s="61"/>
      <c r="L28" s="3">
        <f>SUM(B17:B28)-SUM(C17:C28)-SUM(D17:D28)-SUM(E17:E28)-SUM(F17:F28)-SUM(G17:G28)-SUM(H17:H28)+SUM(J17:J28)</f>
        <v>4732.6359999999995</v>
      </c>
    </row>
    <row r="29" spans="1:12" x14ac:dyDescent="0.2">
      <c r="A29" s="50">
        <v>46023</v>
      </c>
      <c r="B29" s="69"/>
      <c r="C29" s="70"/>
      <c r="D29" s="70"/>
      <c r="E29" s="70"/>
      <c r="F29" s="70"/>
      <c r="G29" s="70"/>
      <c r="H29" s="70"/>
      <c r="I29" s="70"/>
      <c r="J29" s="70">
        <f>IF((C29+D29)&gt;$H$1,(C29+D29)-$H$1,0)</f>
        <v>0</v>
      </c>
      <c r="K29" s="71"/>
    </row>
    <row r="30" spans="1:12" x14ac:dyDescent="0.2">
      <c r="A30" s="54">
        <v>46054</v>
      </c>
      <c r="B30" s="55"/>
      <c r="C30" s="56"/>
      <c r="D30" s="56"/>
      <c r="E30" s="56"/>
      <c r="F30" s="56"/>
      <c r="G30" s="56"/>
      <c r="H30" s="56"/>
      <c r="I30" s="56"/>
      <c r="J30" s="56">
        <f>IF((C30+D30)&gt;$H$1,(C30+D30)-$H$1,0)</f>
        <v>0</v>
      </c>
      <c r="K30" s="57"/>
    </row>
    <row r="31" spans="1:12" x14ac:dyDescent="0.2">
      <c r="A31" s="50">
        <v>46082</v>
      </c>
      <c r="B31" s="51"/>
      <c r="C31" s="52"/>
      <c r="D31" s="52"/>
      <c r="E31" s="52"/>
      <c r="F31" s="52"/>
      <c r="G31" s="52"/>
      <c r="H31" s="52"/>
      <c r="I31" s="52"/>
      <c r="J31" s="52">
        <f>IF((C31+D31)&gt;$H$1,(C31+D31)-$H$1,0)</f>
        <v>0</v>
      </c>
      <c r="K31" s="53"/>
    </row>
    <row r="32" spans="1:12" x14ac:dyDescent="0.2">
      <c r="A32" s="54">
        <v>46113</v>
      </c>
      <c r="B32" s="55"/>
      <c r="C32" s="56"/>
      <c r="D32" s="56"/>
      <c r="E32" s="56"/>
      <c r="F32" s="56"/>
      <c r="G32" s="56"/>
      <c r="H32" s="56"/>
      <c r="I32" s="56"/>
      <c r="J32" s="56">
        <f>IF((C32+D32)&gt;$H$1,(C32+D32)-$H$1,0)</f>
        <v>0</v>
      </c>
      <c r="K32" s="57"/>
    </row>
    <row r="33" spans="1:12" x14ac:dyDescent="0.2">
      <c r="A33" s="50">
        <v>46143</v>
      </c>
      <c r="B33" s="51"/>
      <c r="C33" s="52"/>
      <c r="D33" s="52"/>
      <c r="E33" s="52"/>
      <c r="F33" s="52"/>
      <c r="G33" s="52"/>
      <c r="H33" s="52"/>
      <c r="I33" s="52"/>
      <c r="J33" s="52">
        <f>IF((C33+D33)&gt;$H$1,(C33+D33)-$H$1,0)</f>
        <v>0</v>
      </c>
      <c r="K33" s="53"/>
    </row>
    <row r="34" spans="1:12" x14ac:dyDescent="0.2">
      <c r="A34" s="54">
        <v>46174</v>
      </c>
      <c r="B34" s="55"/>
      <c r="C34" s="56"/>
      <c r="D34" s="56"/>
      <c r="E34" s="56"/>
      <c r="F34" s="56"/>
      <c r="G34" s="56"/>
      <c r="H34" s="56"/>
      <c r="I34" s="56"/>
      <c r="J34" s="56">
        <f>IF((C34+D34)&gt;$H$1,(C34+D34)-$H$1,0)</f>
        <v>0</v>
      </c>
      <c r="K34" s="57"/>
    </row>
    <row r="35" spans="1:12" x14ac:dyDescent="0.2">
      <c r="A35" s="50">
        <v>46204</v>
      </c>
      <c r="B35" s="51"/>
      <c r="C35" s="52"/>
      <c r="D35" s="52"/>
      <c r="E35" s="52"/>
      <c r="F35" s="52"/>
      <c r="G35" s="52"/>
      <c r="H35" s="52"/>
      <c r="I35" s="52"/>
      <c r="J35" s="52">
        <f>IF((C35+D35)&gt;$H$1,(C35+D35)-$H$1,0)</f>
        <v>0</v>
      </c>
      <c r="K35" s="53"/>
    </row>
    <row r="36" spans="1:12" x14ac:dyDescent="0.2">
      <c r="A36" s="54">
        <v>46235</v>
      </c>
      <c r="B36" s="55"/>
      <c r="C36" s="56"/>
      <c r="D36" s="56"/>
      <c r="E36" s="56"/>
      <c r="F36" s="56"/>
      <c r="G36" s="56"/>
      <c r="H36" s="56"/>
      <c r="I36" s="56"/>
      <c r="J36" s="56">
        <f>IF((C36+D36)&gt;$H$1,(C36+D36)-$H$1,0)</f>
        <v>0</v>
      </c>
      <c r="K36" s="57"/>
    </row>
    <row r="37" spans="1:12" x14ac:dyDescent="0.2">
      <c r="A37" s="50">
        <v>46266</v>
      </c>
      <c r="B37" s="51"/>
      <c r="C37" s="52"/>
      <c r="D37" s="52"/>
      <c r="E37" s="52"/>
      <c r="F37" s="52"/>
      <c r="G37" s="52"/>
      <c r="H37" s="52"/>
      <c r="I37" s="52"/>
      <c r="J37" s="52">
        <f>IF((C37+D37)&gt;$H$1,(C37+D37)-$H$1,0)</f>
        <v>0</v>
      </c>
      <c r="K37" s="53"/>
    </row>
    <row r="38" spans="1:12" x14ac:dyDescent="0.2">
      <c r="A38" s="54">
        <v>46296</v>
      </c>
      <c r="B38" s="55"/>
      <c r="C38" s="56"/>
      <c r="D38" s="56"/>
      <c r="E38" s="56"/>
      <c r="F38" s="56"/>
      <c r="G38" s="56"/>
      <c r="H38" s="56"/>
      <c r="I38" s="56"/>
      <c r="J38" s="56">
        <f>IF((C38+D38)&gt;$H$1,(C38+D38)-$H$1,0)</f>
        <v>0</v>
      </c>
      <c r="K38" s="57"/>
    </row>
    <row r="39" spans="1:12" x14ac:dyDescent="0.2">
      <c r="A39" s="50">
        <v>46327</v>
      </c>
      <c r="B39" s="51"/>
      <c r="C39" s="52"/>
      <c r="D39" s="52"/>
      <c r="E39" s="52"/>
      <c r="F39" s="52"/>
      <c r="G39" s="52"/>
      <c r="H39" s="52"/>
      <c r="I39" s="52"/>
      <c r="J39" s="52">
        <f>IF((C39+D39)&gt;$H$1,(C39+D39)-$H$1,0)</f>
        <v>0</v>
      </c>
      <c r="K39" s="53"/>
    </row>
    <row r="40" spans="1:12" ht="15.75" thickBot="1" x14ac:dyDescent="0.25">
      <c r="A40" s="58">
        <v>46357</v>
      </c>
      <c r="B40" s="59"/>
      <c r="C40" s="60"/>
      <c r="D40" s="60"/>
      <c r="E40" s="60"/>
      <c r="F40" s="60"/>
      <c r="G40" s="60"/>
      <c r="H40" s="60"/>
      <c r="I40" s="60"/>
      <c r="J40" s="60">
        <f>IF((C40+D40)&gt;$H$1,(C40+D40)-$H$1,0)</f>
        <v>0</v>
      </c>
      <c r="K40" s="61"/>
      <c r="L40" s="3">
        <f>SUM(B29:B40)-SUM(C29:C40)-SUM(D29:D40)-SUM(E29:E40)-SUM(F29:F40)-SUM(G29:G40)-SUM(H29:H40)+SUM(J29:J40)</f>
        <v>0</v>
      </c>
    </row>
    <row r="41" spans="1:12" x14ac:dyDescent="0.2">
      <c r="A41" s="2"/>
      <c r="B41" s="3">
        <f>SUM(B29:B40)</f>
        <v>0</v>
      </c>
      <c r="C41" s="5">
        <f t="shared" ref="C41" si="0">SUM(C29:C40)</f>
        <v>0</v>
      </c>
      <c r="D41" s="5">
        <f>SUM(D29:D40)</f>
        <v>0</v>
      </c>
      <c r="E41" s="5">
        <f t="shared" ref="E41:H41" si="1">SUM(E29:E40)</f>
        <v>0</v>
      </c>
      <c r="F41" s="5">
        <f t="shared" si="1"/>
        <v>0</v>
      </c>
      <c r="G41" s="5">
        <f t="shared" si="1"/>
        <v>0</v>
      </c>
      <c r="H41" s="5">
        <f t="shared" si="1"/>
        <v>0</v>
      </c>
      <c r="I41" s="5"/>
      <c r="J41" s="5">
        <f t="shared" ref="J41" si="2">SUM(J29:J40)</f>
        <v>0</v>
      </c>
      <c r="K41" s="5"/>
    </row>
    <row r="42" spans="1:12" x14ac:dyDescent="0.2">
      <c r="A42" s="2" t="s">
        <v>5</v>
      </c>
      <c r="B42" s="3">
        <f>B41-C41-D41-E41-F41-G41-H41+J41</f>
        <v>0</v>
      </c>
      <c r="C42" s="3"/>
      <c r="D42" s="3"/>
      <c r="E42" s="3"/>
      <c r="F42" s="3"/>
      <c r="G42" s="3"/>
      <c r="H42" s="3"/>
      <c r="I42" s="3"/>
      <c r="J42" s="3"/>
      <c r="K42" s="3"/>
    </row>
    <row r="43" spans="1:12" x14ac:dyDescent="0.2">
      <c r="A43" s="2" t="s">
        <v>15</v>
      </c>
      <c r="B43" s="4">
        <f>B42/65000</f>
        <v>0</v>
      </c>
      <c r="C43" s="2"/>
      <c r="D43" s="2"/>
      <c r="E43" s="2"/>
      <c r="F43" s="2"/>
      <c r="G43" s="2"/>
      <c r="H43" s="2"/>
      <c r="I43" s="2"/>
      <c r="J43" s="2"/>
      <c r="K43" s="2"/>
    </row>
    <row r="44" spans="1:12" x14ac:dyDescent="0.2">
      <c r="A44" s="17" t="s">
        <v>94</v>
      </c>
      <c r="B44" s="18"/>
      <c r="C44" s="19" t="s">
        <v>101</v>
      </c>
      <c r="D44" s="20">
        <f ca="1">TODAY()</f>
        <v>46029</v>
      </c>
      <c r="E44" s="17"/>
      <c r="F44" s="17"/>
      <c r="G44" s="17"/>
      <c r="H44" s="17"/>
      <c r="I44" s="17"/>
      <c r="J44" s="17"/>
      <c r="K44" s="17"/>
    </row>
  </sheetData>
  <pageMargins left="0.7" right="0.7" top="0.75" bottom="0.75" header="0.3" footer="0.3"/>
  <pageSetup orientation="portrait" horizontalDpi="1200" verticalDpi="1200" r:id="rId1"/>
  <headerFooter>
    <oddHeader>&amp;L&amp;"Arial"&amp;10&amp;K000000&amp;1#</oddHeader>
    <oddFooter>&amp;L&amp;1#&amp;"Arial"&amp;10&amp;K000000Saudi Aramco: Company General Use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6B15-D9FE-4516-AD57-3C11FD3FD493}">
  <sheetPr>
    <tabColor theme="9"/>
  </sheetPr>
  <dimension ref="A1:R49"/>
  <sheetViews>
    <sheetView workbookViewId="0">
      <pane ySplit="3" topLeftCell="A4" activePane="bottomLeft" state="frozen"/>
      <selection activeCell="F28" sqref="F28"/>
      <selection pane="bottomLeft" activeCell="Q40" sqref="Q40"/>
    </sheetView>
  </sheetViews>
  <sheetFormatPr defaultRowHeight="15" x14ac:dyDescent="0.2"/>
  <cols>
    <col min="1" max="1" width="9.81640625" bestFit="1" customWidth="1"/>
    <col min="2" max="2" width="14.66015625" bestFit="1" customWidth="1"/>
    <col min="3" max="5" width="13.1796875" bestFit="1" customWidth="1"/>
    <col min="6" max="6" width="13.1796875" customWidth="1"/>
    <col min="7" max="7" width="14.796875" customWidth="1"/>
    <col min="8" max="8" width="15.73828125" bestFit="1" customWidth="1"/>
    <col min="9" max="9" width="23.80859375" customWidth="1"/>
    <col min="10" max="10" width="17.62109375" bestFit="1" customWidth="1"/>
    <col min="11" max="11" width="11.56640625" bestFit="1" customWidth="1"/>
    <col min="12" max="12" width="10.625" bestFit="1" customWidth="1"/>
    <col min="13" max="13" width="14.390625" bestFit="1" customWidth="1"/>
    <col min="15" max="15" width="12.10546875" customWidth="1"/>
    <col min="16" max="16" width="11.296875" customWidth="1"/>
    <col min="17" max="17" width="6.45703125" customWidth="1"/>
    <col min="18" max="18" width="13.31640625" customWidth="1"/>
  </cols>
  <sheetData>
    <row r="1" spans="1:18" x14ac:dyDescent="0.2">
      <c r="A1" s="79" t="s">
        <v>0</v>
      </c>
      <c r="B1" s="80">
        <f>Master!B14</f>
        <v>2106</v>
      </c>
      <c r="C1" s="81" t="s">
        <v>38</v>
      </c>
      <c r="D1" s="80" t="str">
        <f>Master!J14</f>
        <v>P1-66</v>
      </c>
      <c r="E1" s="81" t="s">
        <v>2</v>
      </c>
      <c r="F1" s="80">
        <f>Master!N14</f>
        <v>1062477474</v>
      </c>
      <c r="G1" s="81" t="s">
        <v>27</v>
      </c>
      <c r="H1" s="82">
        <f>Master!O14</f>
        <v>25</v>
      </c>
      <c r="I1" s="83"/>
      <c r="J1" s="83"/>
      <c r="K1" s="83"/>
      <c r="L1" s="65"/>
      <c r="N1" s="79" t="s">
        <v>0</v>
      </c>
      <c r="O1" s="80">
        <f>Master!B14</f>
        <v>2106</v>
      </c>
      <c r="P1" s="81"/>
      <c r="Q1" s="81" t="s">
        <v>2</v>
      </c>
      <c r="R1" s="121">
        <f>Master!N14</f>
        <v>1062477474</v>
      </c>
    </row>
    <row r="2" spans="1:18" ht="15.75" thickBot="1" x14ac:dyDescent="0.25">
      <c r="A2" s="84" t="s">
        <v>28</v>
      </c>
      <c r="B2" s="85" t="str">
        <f>Master!C14</f>
        <v>Ibrahim</v>
      </c>
      <c r="C2" s="86" t="s">
        <v>34</v>
      </c>
      <c r="D2" s="85">
        <f>Master!I14</f>
        <v>509988877</v>
      </c>
      <c r="E2" s="86" t="s">
        <v>29</v>
      </c>
      <c r="F2" s="87">
        <f>Master!K14</f>
        <v>44504</v>
      </c>
      <c r="G2" s="86" t="s">
        <v>30</v>
      </c>
      <c r="H2" s="87">
        <f>Master!L14</f>
        <v>46329</v>
      </c>
      <c r="I2" s="88"/>
      <c r="J2" s="88"/>
      <c r="K2" s="88"/>
      <c r="L2" s="89"/>
      <c r="N2" s="84" t="s">
        <v>28</v>
      </c>
      <c r="O2" s="85" t="str">
        <f>Master!C14</f>
        <v>Ibrahim</v>
      </c>
      <c r="P2" s="86"/>
      <c r="Q2" s="122" t="s">
        <v>27</v>
      </c>
      <c r="R2" s="128">
        <f>Master!O14</f>
        <v>25</v>
      </c>
    </row>
    <row r="3" spans="1:18" ht="15.75" thickBot="1" x14ac:dyDescent="0.25">
      <c r="A3" s="14" t="s">
        <v>31</v>
      </c>
      <c r="B3" s="14" t="s">
        <v>32</v>
      </c>
      <c r="C3" s="14" t="s">
        <v>2</v>
      </c>
      <c r="D3" s="14" t="s">
        <v>33</v>
      </c>
      <c r="E3" s="14" t="s">
        <v>3</v>
      </c>
      <c r="F3" s="14" t="s">
        <v>93</v>
      </c>
      <c r="G3" s="14" t="s">
        <v>98</v>
      </c>
      <c r="H3" s="14" t="s">
        <v>96</v>
      </c>
      <c r="I3" s="14" t="s">
        <v>97</v>
      </c>
      <c r="J3" s="14" t="s">
        <v>139</v>
      </c>
      <c r="K3" s="14" t="s">
        <v>95</v>
      </c>
      <c r="L3" s="14" t="s">
        <v>103</v>
      </c>
      <c r="N3" s="170" t="s">
        <v>31</v>
      </c>
      <c r="O3" s="171" t="s">
        <v>2</v>
      </c>
      <c r="P3" s="171" t="s">
        <v>171</v>
      </c>
      <c r="Q3" s="171"/>
      <c r="R3" s="172" t="s">
        <v>95</v>
      </c>
    </row>
    <row r="4" spans="1:18" x14ac:dyDescent="0.2">
      <c r="A4" s="147" t="s">
        <v>94</v>
      </c>
      <c r="B4" s="148">
        <v>4997.5640000000003</v>
      </c>
      <c r="C4" s="149" t="s">
        <v>101</v>
      </c>
      <c r="D4" s="150">
        <v>45291</v>
      </c>
      <c r="E4" s="151"/>
      <c r="F4" s="151"/>
      <c r="G4" s="151"/>
      <c r="H4" s="151"/>
      <c r="I4" s="151"/>
      <c r="J4" s="151"/>
      <c r="K4" s="151"/>
      <c r="L4" s="152"/>
      <c r="N4" s="54">
        <v>45748</v>
      </c>
      <c r="O4" s="56">
        <v>16.84</v>
      </c>
      <c r="P4" s="56">
        <v>11.08</v>
      </c>
      <c r="Q4" s="56"/>
      <c r="R4" s="111">
        <f>O4+P4-$R$2</f>
        <v>2.9200000000000017</v>
      </c>
    </row>
    <row r="5" spans="1:18" x14ac:dyDescent="0.2">
      <c r="A5" s="50">
        <v>45292</v>
      </c>
      <c r="B5" s="69">
        <f>Master!$M$14</f>
        <v>500</v>
      </c>
      <c r="C5" s="70">
        <v>8.6</v>
      </c>
      <c r="D5" s="70">
        <v>2.85</v>
      </c>
      <c r="E5" s="70">
        <v>0</v>
      </c>
      <c r="F5" s="70">
        <v>33</v>
      </c>
      <c r="G5" s="70">
        <v>25</v>
      </c>
      <c r="H5" s="134">
        <v>947.53</v>
      </c>
      <c r="I5" s="134" t="s">
        <v>99</v>
      </c>
      <c r="J5" s="134"/>
      <c r="K5" s="70">
        <f>IF((C5+D5)&gt;$H$1,(C5+D5)-$H$1,0)</f>
        <v>0</v>
      </c>
      <c r="L5" s="71"/>
      <c r="N5" s="50">
        <v>45778</v>
      </c>
      <c r="O5" s="52">
        <v>20.61</v>
      </c>
      <c r="P5" s="52">
        <v>16.45</v>
      </c>
      <c r="Q5" s="52"/>
      <c r="R5" s="112">
        <f>O5+P5-$R$2</f>
        <v>12.060000000000002</v>
      </c>
    </row>
    <row r="6" spans="1:18" ht="15.75" thickBot="1" x14ac:dyDescent="0.25">
      <c r="A6" s="54">
        <v>45323</v>
      </c>
      <c r="B6" s="55">
        <f>Master!$M$14</f>
        <v>500</v>
      </c>
      <c r="C6" s="56">
        <v>9.1199999999999992</v>
      </c>
      <c r="D6" s="56">
        <v>2.4</v>
      </c>
      <c r="E6" s="56">
        <v>0</v>
      </c>
      <c r="F6" s="56">
        <v>33</v>
      </c>
      <c r="G6" s="56">
        <v>25</v>
      </c>
      <c r="H6" s="56"/>
      <c r="I6" s="56"/>
      <c r="J6" s="56"/>
      <c r="K6" s="56">
        <f>IF((C6+D6)&gt;$H$1,(C6+D6)-$H$1,0)</f>
        <v>0</v>
      </c>
      <c r="L6" s="57"/>
      <c r="N6" s="173"/>
      <c r="O6" s="174"/>
      <c r="P6" s="175"/>
      <c r="Q6" s="175"/>
      <c r="R6" s="176">
        <f>SUM(R4:R5)</f>
        <v>14.980000000000004</v>
      </c>
    </row>
    <row r="7" spans="1:18" x14ac:dyDescent="0.2">
      <c r="A7" s="50">
        <v>45352</v>
      </c>
      <c r="B7" s="51">
        <f>Master!$M$14</f>
        <v>500</v>
      </c>
      <c r="C7" s="52">
        <v>0</v>
      </c>
      <c r="D7" s="52">
        <v>2.375</v>
      </c>
      <c r="E7" s="52">
        <v>0</v>
      </c>
      <c r="F7" s="52">
        <v>33</v>
      </c>
      <c r="G7" s="52">
        <v>25</v>
      </c>
      <c r="H7" s="52"/>
      <c r="I7" s="52"/>
      <c r="J7" s="52"/>
      <c r="K7" s="52">
        <f>IF((C7+D7)&gt;$H$1,(C7+D7)-$H$1,0)</f>
        <v>0</v>
      </c>
      <c r="L7" s="53"/>
    </row>
    <row r="8" spans="1:18" x14ac:dyDescent="0.2">
      <c r="A8" s="54">
        <v>45383</v>
      </c>
      <c r="B8" s="55">
        <f>Master!$M$14</f>
        <v>500</v>
      </c>
      <c r="C8" s="56">
        <v>8.43</v>
      </c>
      <c r="D8" s="56">
        <v>5.4</v>
      </c>
      <c r="E8" s="56">
        <v>0</v>
      </c>
      <c r="F8" s="56">
        <v>33</v>
      </c>
      <c r="G8" s="56">
        <v>25</v>
      </c>
      <c r="H8" s="56"/>
      <c r="I8" s="56"/>
      <c r="J8" s="56"/>
      <c r="K8" s="56">
        <f>IF((C8+D8)&gt;$H$1,(C8+D8)-$H$1,0)</f>
        <v>0</v>
      </c>
      <c r="L8" s="57"/>
    </row>
    <row r="9" spans="1:18" x14ac:dyDescent="0.2">
      <c r="A9" s="50">
        <v>45413</v>
      </c>
      <c r="B9" s="51">
        <f>Master!$M$14</f>
        <v>500</v>
      </c>
      <c r="C9" s="52">
        <v>9.76</v>
      </c>
      <c r="D9" s="52">
        <v>9.4749999999999996</v>
      </c>
      <c r="E9" s="52">
        <v>0</v>
      </c>
      <c r="F9" s="52">
        <v>33</v>
      </c>
      <c r="G9" s="52">
        <v>25</v>
      </c>
      <c r="H9" s="52"/>
      <c r="I9" s="52"/>
      <c r="J9" s="52"/>
      <c r="K9" s="52">
        <f>IF((C9+D9)&gt;$H$1,(C9+D9)-$H$1,0)</f>
        <v>0</v>
      </c>
      <c r="L9" s="53"/>
    </row>
    <row r="10" spans="1:18" x14ac:dyDescent="0.2">
      <c r="A10" s="54">
        <v>45444</v>
      </c>
      <c r="B10" s="55">
        <f>Master!$M$14</f>
        <v>500</v>
      </c>
      <c r="C10" s="56">
        <v>11.3</v>
      </c>
      <c r="D10" s="56">
        <v>16</v>
      </c>
      <c r="E10" s="56">
        <v>0</v>
      </c>
      <c r="F10" s="56">
        <v>33</v>
      </c>
      <c r="G10" s="56">
        <v>25</v>
      </c>
      <c r="H10" s="56"/>
      <c r="I10" s="56"/>
      <c r="J10" s="56"/>
      <c r="K10" s="56">
        <v>0</v>
      </c>
      <c r="L10" s="57"/>
    </row>
    <row r="11" spans="1:18" x14ac:dyDescent="0.2">
      <c r="A11" s="50">
        <v>45474</v>
      </c>
      <c r="B11" s="51">
        <f>Master!$M$14</f>
        <v>500</v>
      </c>
      <c r="C11" s="52">
        <v>11.06</v>
      </c>
      <c r="D11" s="52">
        <v>11.8</v>
      </c>
      <c r="E11" s="52">
        <v>0</v>
      </c>
      <c r="F11" s="52">
        <v>33</v>
      </c>
      <c r="G11" s="52">
        <v>25</v>
      </c>
      <c r="H11" s="52"/>
      <c r="I11" s="52"/>
      <c r="J11" s="52"/>
      <c r="K11" s="52">
        <f>IF((C11+D11)&gt;$H$1,(C11+D11)-$H$1,0)</f>
        <v>0</v>
      </c>
      <c r="L11" s="53"/>
    </row>
    <row r="12" spans="1:18" x14ac:dyDescent="0.2">
      <c r="A12" s="54">
        <v>45505</v>
      </c>
      <c r="B12" s="55">
        <f>Master!$M$14</f>
        <v>500</v>
      </c>
      <c r="C12" s="56">
        <v>9.07</v>
      </c>
      <c r="D12" s="56">
        <v>9.5</v>
      </c>
      <c r="E12" s="56">
        <v>0</v>
      </c>
      <c r="F12" s="56">
        <v>33</v>
      </c>
      <c r="G12" s="56">
        <v>25</v>
      </c>
      <c r="H12" s="56">
        <v>705.40800000000002</v>
      </c>
      <c r="I12" s="56" t="s">
        <v>100</v>
      </c>
      <c r="J12" s="56"/>
      <c r="K12" s="56">
        <f>IF((C12+D12)&gt;$H$1,(C12+D12)-$H$1,0)</f>
        <v>0</v>
      </c>
      <c r="L12" s="57"/>
    </row>
    <row r="13" spans="1:18" x14ac:dyDescent="0.2">
      <c r="A13" s="50">
        <v>45536</v>
      </c>
      <c r="B13" s="51">
        <f>Master!$M$14</f>
        <v>500</v>
      </c>
      <c r="C13" s="52">
        <v>10</v>
      </c>
      <c r="D13" s="52">
        <v>7.15</v>
      </c>
      <c r="E13" s="52">
        <v>0</v>
      </c>
      <c r="F13" s="52">
        <v>33</v>
      </c>
      <c r="G13" s="52">
        <v>25</v>
      </c>
      <c r="H13" s="52"/>
      <c r="I13" s="52"/>
      <c r="J13" s="52"/>
      <c r="K13" s="52">
        <f>IF((C13+D13)&gt;$H$1,(C13+D13)-$H$1,0)</f>
        <v>0</v>
      </c>
      <c r="L13" s="53"/>
    </row>
    <row r="14" spans="1:18" x14ac:dyDescent="0.2">
      <c r="A14" s="54">
        <v>45566</v>
      </c>
      <c r="B14" s="55">
        <f>Master!$M$14</f>
        <v>500</v>
      </c>
      <c r="C14" s="56">
        <v>10.81</v>
      </c>
      <c r="D14" s="56">
        <v>6.55</v>
      </c>
      <c r="E14" s="56">
        <v>0</v>
      </c>
      <c r="F14" s="56">
        <v>33</v>
      </c>
      <c r="G14" s="56">
        <v>25</v>
      </c>
      <c r="H14" s="56"/>
      <c r="I14" s="56"/>
      <c r="J14" s="56"/>
      <c r="K14" s="56">
        <f>IF((C14+D14)&gt;$H$1,(C14+D14)-$H$1,0)</f>
        <v>0</v>
      </c>
      <c r="L14" s="57"/>
    </row>
    <row r="15" spans="1:18" x14ac:dyDescent="0.2">
      <c r="A15" s="50">
        <v>45597</v>
      </c>
      <c r="B15" s="51">
        <f>Master!$M$14</f>
        <v>500</v>
      </c>
      <c r="C15" s="52">
        <v>12.46</v>
      </c>
      <c r="D15" s="52">
        <v>6.4</v>
      </c>
      <c r="E15" s="52">
        <v>25.5</v>
      </c>
      <c r="F15" s="52">
        <v>33</v>
      </c>
      <c r="G15" s="52">
        <v>25</v>
      </c>
      <c r="H15" s="134">
        <v>5178.18</v>
      </c>
      <c r="I15" s="134" t="s">
        <v>124</v>
      </c>
      <c r="J15" s="134"/>
      <c r="K15" s="52">
        <f>IF((C15+D15)&gt;$H$1,(C15+D15)-$H$1,0)</f>
        <v>0</v>
      </c>
      <c r="L15" s="53"/>
    </row>
    <row r="16" spans="1:18" x14ac:dyDescent="0.2">
      <c r="A16" s="54">
        <v>45627</v>
      </c>
      <c r="B16" s="55">
        <v>500</v>
      </c>
      <c r="C16" s="56">
        <v>8.7200000000000006</v>
      </c>
      <c r="D16" s="56">
        <v>0.25</v>
      </c>
      <c r="E16" s="56">
        <v>14.5</v>
      </c>
      <c r="F16" s="56">
        <v>33</v>
      </c>
      <c r="G16" s="56">
        <v>25</v>
      </c>
      <c r="H16" s="135">
        <v>2740.97</v>
      </c>
      <c r="I16" s="135" t="s">
        <v>126</v>
      </c>
      <c r="J16" s="135"/>
      <c r="K16" s="56">
        <f>IF((C16+D16)&gt;$H$1,(C16+D16)-$H$1,0)</f>
        <v>0</v>
      </c>
      <c r="L16" s="57"/>
    </row>
    <row r="17" spans="1:13" x14ac:dyDescent="0.2">
      <c r="A17" s="136"/>
      <c r="B17" s="137">
        <f>SUM(B5:B16)</f>
        <v>6000</v>
      </c>
      <c r="C17" s="138">
        <f>SUM(C5:C16)</f>
        <v>109.33000000000001</v>
      </c>
      <c r="D17" s="138">
        <f>SUM(D5:D16)</f>
        <v>80.150000000000006</v>
      </c>
      <c r="E17" s="138">
        <f>SUM(E5:E16)</f>
        <v>40</v>
      </c>
      <c r="F17" s="138">
        <f>SUM(F5:F16)</f>
        <v>396</v>
      </c>
      <c r="G17" s="138">
        <f>SUM(G5:G16)</f>
        <v>300</v>
      </c>
      <c r="H17" s="138">
        <f>SUM(H5:H16)</f>
        <v>9572.0879999999997</v>
      </c>
      <c r="I17" s="138"/>
      <c r="J17" s="138"/>
      <c r="K17" s="138">
        <f>SUM(K5:K16)</f>
        <v>0</v>
      </c>
      <c r="L17" s="139"/>
      <c r="M17" s="3">
        <f>SUM(B5:B16)-SUM(C5:C16)-SUM(D5:D16)-SUM(E5:E16)-SUM(F5:F16)-SUM(G5:G16)-SUM(H5:H16)+SUM(K5:K16)</f>
        <v>-4497.5679999999993</v>
      </c>
    </row>
    <row r="18" spans="1:13" x14ac:dyDescent="0.2">
      <c r="A18" s="136" t="s">
        <v>5</v>
      </c>
      <c r="B18" s="137">
        <f>B17-C17-D17-E17-F17-G17-H17+K17</f>
        <v>-4497.5679999999993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40"/>
    </row>
    <row r="19" spans="1:13" ht="15.75" thickBot="1" x14ac:dyDescent="0.25">
      <c r="A19" s="141" t="s">
        <v>94</v>
      </c>
      <c r="B19" s="142">
        <f>B4+B18</f>
        <v>499.996000000001</v>
      </c>
      <c r="C19" s="143" t="s">
        <v>101</v>
      </c>
      <c r="D19" s="144">
        <v>45657</v>
      </c>
      <c r="E19" s="145"/>
      <c r="F19" s="145"/>
      <c r="G19" s="145"/>
      <c r="H19" s="145"/>
      <c r="I19" s="145"/>
      <c r="J19" s="145"/>
      <c r="K19" s="145"/>
      <c r="L19" s="146"/>
    </row>
    <row r="20" spans="1:13" x14ac:dyDescent="0.2">
      <c r="A20" s="50">
        <v>45658</v>
      </c>
      <c r="B20" s="69">
        <v>500</v>
      </c>
      <c r="C20" s="70">
        <v>6</v>
      </c>
      <c r="D20" s="70">
        <v>0.1</v>
      </c>
      <c r="E20" s="70">
        <v>15.3</v>
      </c>
      <c r="F20" s="70">
        <v>33</v>
      </c>
      <c r="G20" s="70">
        <v>25</v>
      </c>
      <c r="H20" s="70"/>
      <c r="I20" s="70"/>
      <c r="J20" s="70"/>
      <c r="K20" s="70">
        <f t="shared" ref="K20:K31" si="0">IF((C20+D20)&gt;$H$1,(C20+D20)-$H$1,0)</f>
        <v>0</v>
      </c>
      <c r="L20" s="71"/>
    </row>
    <row r="21" spans="1:13" x14ac:dyDescent="0.2">
      <c r="A21" s="54">
        <v>45689</v>
      </c>
      <c r="B21" s="55">
        <v>500</v>
      </c>
      <c r="C21" s="56">
        <v>8</v>
      </c>
      <c r="D21" s="56">
        <v>1.1000000000000001</v>
      </c>
      <c r="E21" s="56">
        <v>15.3</v>
      </c>
      <c r="F21" s="56">
        <v>33</v>
      </c>
      <c r="G21" s="56">
        <v>25</v>
      </c>
      <c r="H21" s="56"/>
      <c r="I21" s="56"/>
      <c r="J21" s="56">
        <v>400</v>
      </c>
      <c r="K21" s="56">
        <f>IF((C21+D21)&gt;$H$1,(C21+D21)-$H$1,0)</f>
        <v>0</v>
      </c>
      <c r="L21" s="57"/>
    </row>
    <row r="22" spans="1:13" x14ac:dyDescent="0.2">
      <c r="A22" s="50">
        <v>45717</v>
      </c>
      <c r="B22" s="51">
        <v>500</v>
      </c>
      <c r="C22" s="52">
        <v>17.03</v>
      </c>
      <c r="D22" s="52">
        <v>4.2</v>
      </c>
      <c r="E22" s="52">
        <v>15.3</v>
      </c>
      <c r="F22" s="52">
        <v>33</v>
      </c>
      <c r="G22" s="52">
        <v>25</v>
      </c>
      <c r="H22" s="52"/>
      <c r="I22" s="52"/>
      <c r="J22" s="52">
        <v>400</v>
      </c>
      <c r="K22" s="52">
        <f t="shared" ref="K22:K31" si="1">IF((C22+D22)&gt;$H$1,(C22+D22)-$H$1,0)</f>
        <v>0</v>
      </c>
      <c r="L22" s="53"/>
    </row>
    <row r="23" spans="1:13" x14ac:dyDescent="0.2">
      <c r="A23" s="54">
        <v>45748</v>
      </c>
      <c r="B23" s="55">
        <v>500</v>
      </c>
      <c r="C23" s="56">
        <v>16.84</v>
      </c>
      <c r="D23" s="56">
        <v>11.08</v>
      </c>
      <c r="E23" s="56">
        <v>15.3</v>
      </c>
      <c r="F23" s="56">
        <v>33</v>
      </c>
      <c r="G23" s="56">
        <v>25</v>
      </c>
      <c r="H23" s="56"/>
      <c r="I23" s="56"/>
      <c r="J23" s="56">
        <v>400</v>
      </c>
      <c r="K23" s="56">
        <f t="shared" si="1"/>
        <v>2.9200000000000017</v>
      </c>
      <c r="L23" s="57"/>
    </row>
    <row r="24" spans="1:13" x14ac:dyDescent="0.2">
      <c r="A24" s="50">
        <v>45778</v>
      </c>
      <c r="B24" s="51">
        <v>500</v>
      </c>
      <c r="C24" s="52">
        <v>20.61</v>
      </c>
      <c r="D24" s="52">
        <v>16.45</v>
      </c>
      <c r="E24" s="52">
        <v>15.3</v>
      </c>
      <c r="F24" s="52">
        <v>33</v>
      </c>
      <c r="G24" s="52">
        <v>25</v>
      </c>
      <c r="H24" s="134"/>
      <c r="I24" s="134"/>
      <c r="J24" s="52">
        <v>400</v>
      </c>
      <c r="K24" s="52">
        <f t="shared" si="1"/>
        <v>12.060000000000002</v>
      </c>
      <c r="L24" s="53"/>
    </row>
    <row r="25" spans="1:13" x14ac:dyDescent="0.2">
      <c r="A25" s="54">
        <v>45809</v>
      </c>
      <c r="B25" s="55">
        <v>500</v>
      </c>
      <c r="C25" s="56">
        <v>13.55</v>
      </c>
      <c r="D25" s="56">
        <v>6.35</v>
      </c>
      <c r="E25" s="56">
        <v>16.18</v>
      </c>
      <c r="F25" s="56">
        <v>33</v>
      </c>
      <c r="G25" s="56">
        <v>25</v>
      </c>
      <c r="H25" s="56"/>
      <c r="I25" s="56"/>
      <c r="J25" s="56">
        <v>400</v>
      </c>
      <c r="K25" s="56">
        <f t="shared" si="1"/>
        <v>0</v>
      </c>
      <c r="L25" s="57"/>
    </row>
    <row r="26" spans="1:13" x14ac:dyDescent="0.2">
      <c r="A26" s="50">
        <v>45839</v>
      </c>
      <c r="B26" s="51">
        <v>500</v>
      </c>
      <c r="C26" s="52">
        <v>12.39</v>
      </c>
      <c r="D26" s="52">
        <v>9.9499999999999993</v>
      </c>
      <c r="E26" s="52">
        <v>16.18</v>
      </c>
      <c r="F26" s="52">
        <v>33</v>
      </c>
      <c r="G26" s="52">
        <v>25</v>
      </c>
      <c r="H26" s="134"/>
      <c r="I26" s="134"/>
      <c r="J26" s="52">
        <v>400</v>
      </c>
      <c r="K26" s="52">
        <f t="shared" si="1"/>
        <v>0</v>
      </c>
      <c r="L26" s="53"/>
    </row>
    <row r="27" spans="1:13" x14ac:dyDescent="0.2">
      <c r="A27" s="54">
        <v>45870</v>
      </c>
      <c r="B27" s="55">
        <v>500</v>
      </c>
      <c r="C27" s="56">
        <v>11.31</v>
      </c>
      <c r="D27" s="56">
        <v>7.4</v>
      </c>
      <c r="E27" s="56">
        <v>16.18</v>
      </c>
      <c r="F27" s="56">
        <v>33</v>
      </c>
      <c r="G27" s="56">
        <v>25</v>
      </c>
      <c r="H27" s="56">
        <v>705.40800000000002</v>
      </c>
      <c r="I27" s="56" t="s">
        <v>100</v>
      </c>
      <c r="J27" s="56">
        <v>400</v>
      </c>
      <c r="K27" s="56">
        <f t="shared" si="1"/>
        <v>0</v>
      </c>
      <c r="L27" s="57"/>
    </row>
    <row r="28" spans="1:13" x14ac:dyDescent="0.2">
      <c r="A28" s="50">
        <v>45901</v>
      </c>
      <c r="B28" s="51">
        <v>500</v>
      </c>
      <c r="C28" s="52">
        <v>11.23</v>
      </c>
      <c r="D28" s="52">
        <v>6.4749999999999996</v>
      </c>
      <c r="E28" s="52">
        <v>16.18</v>
      </c>
      <c r="F28" s="52">
        <v>33</v>
      </c>
      <c r="G28" s="52">
        <v>25</v>
      </c>
      <c r="H28" s="52"/>
      <c r="I28" s="52"/>
      <c r="J28" s="52">
        <v>400</v>
      </c>
      <c r="K28" s="52">
        <f t="shared" si="1"/>
        <v>0</v>
      </c>
      <c r="L28" s="53"/>
    </row>
    <row r="29" spans="1:13" x14ac:dyDescent="0.2">
      <c r="A29" s="54">
        <v>45931</v>
      </c>
      <c r="B29" s="55">
        <v>500</v>
      </c>
      <c r="C29" s="56">
        <v>13.17</v>
      </c>
      <c r="D29" s="56">
        <v>3.05</v>
      </c>
      <c r="E29" s="56">
        <v>16.18</v>
      </c>
      <c r="F29" s="56">
        <v>33</v>
      </c>
      <c r="G29" s="56">
        <v>25</v>
      </c>
      <c r="H29" s="56"/>
      <c r="I29" s="56"/>
      <c r="J29" s="56">
        <v>400</v>
      </c>
      <c r="K29" s="56">
        <f t="shared" si="1"/>
        <v>0</v>
      </c>
      <c r="L29" s="57"/>
    </row>
    <row r="30" spans="1:13" x14ac:dyDescent="0.2">
      <c r="A30" s="50">
        <v>45962</v>
      </c>
      <c r="B30" s="51">
        <v>500</v>
      </c>
      <c r="C30" s="52">
        <v>11.66</v>
      </c>
      <c r="D30" s="52">
        <v>2.2749999999999999</v>
      </c>
      <c r="E30" s="52">
        <v>16.18</v>
      </c>
      <c r="F30" s="52">
        <v>33</v>
      </c>
      <c r="G30" s="52">
        <v>25</v>
      </c>
      <c r="H30" s="52"/>
      <c r="I30" s="52"/>
      <c r="J30" s="52">
        <v>400</v>
      </c>
      <c r="K30" s="52">
        <f t="shared" si="1"/>
        <v>0</v>
      </c>
      <c r="L30" s="53"/>
    </row>
    <row r="31" spans="1:13" x14ac:dyDescent="0.2">
      <c r="A31" s="54">
        <v>45992</v>
      </c>
      <c r="B31" s="55">
        <v>500</v>
      </c>
      <c r="C31" s="56">
        <v>12.3</v>
      </c>
      <c r="D31" s="56">
        <v>0.52500000000000002</v>
      </c>
      <c r="E31" s="56">
        <v>16.18</v>
      </c>
      <c r="F31" s="56">
        <v>33</v>
      </c>
      <c r="G31" s="56">
        <v>25</v>
      </c>
      <c r="H31" s="135"/>
      <c r="I31" s="135"/>
      <c r="J31" s="56">
        <v>400</v>
      </c>
      <c r="K31" s="56">
        <f t="shared" si="1"/>
        <v>0</v>
      </c>
      <c r="L31" s="57"/>
    </row>
    <row r="32" spans="1:13" x14ac:dyDescent="0.2">
      <c r="A32" s="136"/>
      <c r="B32" s="137">
        <f>SUM(B20:B31)</f>
        <v>6000</v>
      </c>
      <c r="C32" s="138">
        <f t="shared" ref="C32:C34" si="2">SUM(C20:C31)</f>
        <v>154.09</v>
      </c>
      <c r="D32" s="138">
        <f>SUM(D20:D31)</f>
        <v>68.955000000000013</v>
      </c>
      <c r="E32" s="138">
        <f t="shared" ref="E32:J32" si="3">SUM(E20:E31)</f>
        <v>189.76000000000005</v>
      </c>
      <c r="F32" s="138">
        <f t="shared" si="3"/>
        <v>396</v>
      </c>
      <c r="G32" s="138">
        <f t="shared" si="3"/>
        <v>300</v>
      </c>
      <c r="H32" s="138">
        <f t="shared" si="3"/>
        <v>705.40800000000002</v>
      </c>
      <c r="I32" s="138"/>
      <c r="J32" s="138">
        <f t="shared" si="3"/>
        <v>4400</v>
      </c>
      <c r="K32" s="138"/>
      <c r="L32" s="139"/>
      <c r="M32" s="3">
        <f>SUM(B20:B31)-SUM(C20:C31)-SUM(D20:D31)-SUM(E20:E31)-SUM(F20:F31)-SUM(G20:G31)-SUM(H20:H31)+SUM(K20:K31)</f>
        <v>4200.7669999999989</v>
      </c>
    </row>
    <row r="33" spans="1:13" x14ac:dyDescent="0.2">
      <c r="A33" s="136" t="s">
        <v>5</v>
      </c>
      <c r="B33" s="137">
        <f>B32-C32-D32-E32-F32-G32-H32+K32</f>
        <v>4185.7869999999994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40"/>
    </row>
    <row r="34" spans="1:13" ht="15.75" thickBot="1" x14ac:dyDescent="0.25">
      <c r="A34" s="153" t="s">
        <v>94</v>
      </c>
      <c r="B34" s="154">
        <v>296.86300000000028</v>
      </c>
      <c r="C34" s="155" t="s">
        <v>101</v>
      </c>
      <c r="D34" s="156">
        <v>46022</v>
      </c>
      <c r="E34" s="157"/>
      <c r="F34" s="157"/>
      <c r="G34" s="157"/>
      <c r="H34" s="157"/>
      <c r="I34" s="157"/>
      <c r="J34" s="157"/>
      <c r="K34" s="157"/>
      <c r="L34" s="158"/>
    </row>
    <row r="35" spans="1:13" x14ac:dyDescent="0.2">
      <c r="A35" s="62">
        <v>45658</v>
      </c>
      <c r="B35" s="66"/>
      <c r="C35" s="67"/>
      <c r="D35" s="67"/>
      <c r="E35" s="67"/>
      <c r="F35" s="67"/>
      <c r="G35" s="67"/>
      <c r="H35" s="67"/>
      <c r="I35" s="67"/>
      <c r="J35" s="67"/>
      <c r="K35" s="67">
        <f>IF((C35+D35)&gt;$H$1,(C35+D35)-$H$1,0)</f>
        <v>0</v>
      </c>
      <c r="L35" s="68"/>
    </row>
    <row r="36" spans="1:13" x14ac:dyDescent="0.2">
      <c r="A36" s="54">
        <v>45689</v>
      </c>
      <c r="B36" s="55"/>
      <c r="C36" s="56"/>
      <c r="D36" s="56"/>
      <c r="E36" s="56"/>
      <c r="F36" s="56"/>
      <c r="G36" s="56"/>
      <c r="H36" s="56"/>
      <c r="I36" s="56"/>
      <c r="J36" s="56"/>
      <c r="K36" s="56">
        <f>IF((C36+D36)&gt;$H$1,(C36+D36)-$H$1,0)</f>
        <v>0</v>
      </c>
      <c r="L36" s="57"/>
    </row>
    <row r="37" spans="1:13" x14ac:dyDescent="0.2">
      <c r="A37" s="50">
        <v>45717</v>
      </c>
      <c r="B37" s="51"/>
      <c r="C37" s="52"/>
      <c r="D37" s="52"/>
      <c r="E37" s="52"/>
      <c r="F37" s="52"/>
      <c r="G37" s="52"/>
      <c r="H37" s="52"/>
      <c r="I37" s="52"/>
      <c r="J37" s="52"/>
      <c r="K37" s="52">
        <f>IF((C38+D38)&gt;$H$1,(C38+D38)-$H$1,0)</f>
        <v>0</v>
      </c>
      <c r="L37" s="53"/>
    </row>
    <row r="38" spans="1:13" x14ac:dyDescent="0.2">
      <c r="A38" s="54">
        <v>45748</v>
      </c>
      <c r="B38" s="55"/>
      <c r="C38" s="56"/>
      <c r="D38" s="56"/>
      <c r="E38" s="56"/>
      <c r="F38" s="56"/>
      <c r="G38" s="56"/>
      <c r="H38" s="56"/>
      <c r="I38" s="56"/>
      <c r="J38" s="56"/>
      <c r="K38" s="56">
        <f>IF((C38+D38)&gt;$H$1,(C38+D38)-$H$1,0)</f>
        <v>0</v>
      </c>
      <c r="L38" s="57"/>
    </row>
    <row r="39" spans="1:13" x14ac:dyDescent="0.2">
      <c r="A39" s="50">
        <v>45778</v>
      </c>
      <c r="B39" s="51"/>
      <c r="C39" s="52"/>
      <c r="D39" s="52"/>
      <c r="E39" s="52"/>
      <c r="F39" s="52"/>
      <c r="G39" s="52"/>
      <c r="H39" s="134"/>
      <c r="I39" s="134"/>
      <c r="J39" s="52"/>
      <c r="K39" s="52">
        <f>IF((C39+D39)&gt;$H$1,(C39+D39)-$H$1,0)</f>
        <v>0</v>
      </c>
      <c r="L39" s="53"/>
    </row>
    <row r="40" spans="1:13" x14ac:dyDescent="0.2">
      <c r="A40" s="54">
        <v>45809</v>
      </c>
      <c r="B40" s="55"/>
      <c r="C40" s="56"/>
      <c r="D40" s="56"/>
      <c r="E40" s="56"/>
      <c r="F40" s="56"/>
      <c r="G40" s="56"/>
      <c r="H40" s="56"/>
      <c r="I40" s="56"/>
      <c r="J40" s="56"/>
      <c r="K40" s="56">
        <f>IF((C40+D40)&gt;$H$1,(C40+D40)-$H$1,0)</f>
        <v>0</v>
      </c>
      <c r="L40" s="57"/>
    </row>
    <row r="41" spans="1:13" x14ac:dyDescent="0.2">
      <c r="A41" s="50">
        <v>45839</v>
      </c>
      <c r="B41" s="51"/>
      <c r="C41" s="52"/>
      <c r="D41" s="52"/>
      <c r="E41" s="52"/>
      <c r="F41" s="52"/>
      <c r="G41" s="52"/>
      <c r="H41" s="134"/>
      <c r="I41" s="134"/>
      <c r="J41" s="52"/>
      <c r="K41" s="52">
        <f>IF((C41+D41)&gt;$H$1,(C41+D41)-$H$1,0)</f>
        <v>0</v>
      </c>
      <c r="L41" s="53"/>
    </row>
    <row r="42" spans="1:13" x14ac:dyDescent="0.2">
      <c r="A42" s="54">
        <v>45870</v>
      </c>
      <c r="B42" s="55"/>
      <c r="C42" s="56"/>
      <c r="D42" s="56"/>
      <c r="E42" s="56"/>
      <c r="F42" s="56"/>
      <c r="G42" s="56"/>
      <c r="H42" s="56"/>
      <c r="I42" s="56"/>
      <c r="J42" s="56"/>
      <c r="K42" s="56">
        <f>IF((C42+D42)&gt;$H$1,(C42+D42)-$H$1,0)</f>
        <v>0</v>
      </c>
      <c r="L42" s="57"/>
    </row>
    <row r="43" spans="1:13" x14ac:dyDescent="0.2">
      <c r="A43" s="50">
        <v>45901</v>
      </c>
      <c r="B43" s="51"/>
      <c r="C43" s="52"/>
      <c r="D43" s="52"/>
      <c r="E43" s="52"/>
      <c r="F43" s="52"/>
      <c r="G43" s="52"/>
      <c r="H43" s="52"/>
      <c r="I43" s="52"/>
      <c r="J43" s="52"/>
      <c r="K43" s="52">
        <f>IF((C43+D43)&gt;$H$1,(C43+D43)-$H$1,0)</f>
        <v>0</v>
      </c>
      <c r="L43" s="53"/>
    </row>
    <row r="44" spans="1:13" x14ac:dyDescent="0.2">
      <c r="A44" s="54">
        <v>45931</v>
      </c>
      <c r="B44" s="55"/>
      <c r="C44" s="56"/>
      <c r="D44" s="56"/>
      <c r="E44" s="56"/>
      <c r="F44" s="56"/>
      <c r="G44" s="56"/>
      <c r="H44" s="56"/>
      <c r="I44" s="56"/>
      <c r="J44" s="56"/>
      <c r="K44" s="56">
        <f>IF((C44+D44)&gt;$H$1,(C44+D44)-$H$1,0)</f>
        <v>0</v>
      </c>
      <c r="L44" s="57"/>
    </row>
    <row r="45" spans="1:13" x14ac:dyDescent="0.2">
      <c r="A45" s="50">
        <v>45962</v>
      </c>
      <c r="B45" s="51"/>
      <c r="C45" s="52"/>
      <c r="D45" s="52"/>
      <c r="E45" s="52"/>
      <c r="F45" s="52"/>
      <c r="G45" s="52"/>
      <c r="H45" s="52"/>
      <c r="I45" s="52"/>
      <c r="J45" s="52"/>
      <c r="K45" s="52">
        <f>IF((C45+D45)&gt;$H$1,(C45+D45)-$H$1,0)</f>
        <v>0</v>
      </c>
      <c r="L45" s="53"/>
    </row>
    <row r="46" spans="1:13" x14ac:dyDescent="0.2">
      <c r="A46" s="54">
        <v>45992</v>
      </c>
      <c r="B46" s="55"/>
      <c r="C46" s="56"/>
      <c r="D46" s="56"/>
      <c r="E46" s="56"/>
      <c r="F46" s="56"/>
      <c r="G46" s="56"/>
      <c r="H46" s="135"/>
      <c r="I46" s="135"/>
      <c r="J46" s="56"/>
      <c r="K46" s="56">
        <f>IF((C46+D46)&gt;$H$1,(C46+D46)-$H$1,0)</f>
        <v>0</v>
      </c>
      <c r="L46" s="57"/>
    </row>
    <row r="47" spans="1:13" x14ac:dyDescent="0.2">
      <c r="A47" s="136"/>
      <c r="B47" s="137">
        <f>SUM(B35:B46)</f>
        <v>0</v>
      </c>
      <c r="C47" s="138">
        <f t="shared" ref="C47" si="4">SUM(C35:C46)</f>
        <v>0</v>
      </c>
      <c r="D47" s="138">
        <f>SUM(D35:D46)</f>
        <v>0</v>
      </c>
      <c r="E47" s="138">
        <f t="shared" ref="E47:J47" si="5">SUM(E35:E46)</f>
        <v>0</v>
      </c>
      <c r="F47" s="138">
        <f t="shared" si="5"/>
        <v>0</v>
      </c>
      <c r="G47" s="138">
        <f t="shared" si="5"/>
        <v>0</v>
      </c>
      <c r="H47" s="138">
        <f t="shared" si="5"/>
        <v>0</v>
      </c>
      <c r="I47" s="138"/>
      <c r="J47" s="138">
        <f t="shared" ref="J47" si="6">SUM(J35:J46)</f>
        <v>0</v>
      </c>
      <c r="K47" s="138"/>
      <c r="L47" s="139"/>
      <c r="M47" s="3">
        <f>SUM(B35:B46)-SUM(C35:C46)-SUM(D35:D46)-SUM(E35:E46)-SUM(F35:F46)-SUM(G35:G46)-SUM(H35:H46)+SUM(K35:K46)</f>
        <v>0</v>
      </c>
    </row>
    <row r="48" spans="1:13" x14ac:dyDescent="0.2">
      <c r="A48" s="136" t="s">
        <v>5</v>
      </c>
      <c r="B48" s="137">
        <f>B47-C47-D47-E47-F47-G47-H47+K47</f>
        <v>0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40"/>
    </row>
    <row r="49" spans="1:12" ht="15.75" thickBot="1" x14ac:dyDescent="0.25">
      <c r="A49" s="141" t="s">
        <v>94</v>
      </c>
      <c r="B49" s="142">
        <f>B34+B48</f>
        <v>296.86300000000028</v>
      </c>
      <c r="C49" s="143" t="s">
        <v>101</v>
      </c>
      <c r="D49" s="144">
        <f ca="1">TODAY()</f>
        <v>46029</v>
      </c>
      <c r="E49" s="145"/>
      <c r="F49" s="145"/>
      <c r="G49" s="145"/>
      <c r="H49" s="145"/>
      <c r="I49" s="145"/>
      <c r="J49" s="145"/>
      <c r="K49" s="145"/>
      <c r="L49" s="146"/>
    </row>
  </sheetData>
  <pageMargins left="0.7" right="0.7" top="0.75" bottom="0.75" header="0.3" footer="0.3"/>
  <pageSetup orientation="landscape" horizontalDpi="1200" verticalDpi="1200" r:id="rId1"/>
  <headerFooter>
    <oddHeader>&amp;L&amp;"Arial"&amp;10&amp;K000000&amp;1#</oddHeader>
    <oddFooter>&amp;L&amp;1#&amp;"Arial"&amp;10&amp;K000000Saudi Aramco: Company General Use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4479-B931-B44C-AB3B-FF6F1207E353}">
  <dimension ref="A1:R32"/>
  <sheetViews>
    <sheetView topLeftCell="A7" zoomScaleNormal="150" zoomScaleSheetLayoutView="100" workbookViewId="0">
      <selection activeCell="Q17" sqref="Q17"/>
    </sheetView>
  </sheetViews>
  <sheetFormatPr defaultRowHeight="15" x14ac:dyDescent="0.2"/>
  <cols>
    <col min="1" max="1" width="7.6640625" bestFit="1" customWidth="1"/>
    <col min="2" max="2" width="13.71875" bestFit="1" customWidth="1"/>
    <col min="3" max="3" width="13.1796875" bestFit="1" customWidth="1"/>
    <col min="4" max="4" width="12.23828125" bestFit="1" customWidth="1"/>
    <col min="5" max="5" width="13.1796875" bestFit="1" customWidth="1"/>
    <col min="6" max="6" width="13.71875" bestFit="1" customWidth="1"/>
    <col min="7" max="8" width="13.1796875" bestFit="1" customWidth="1"/>
    <col min="9" max="9" width="18.83203125" bestFit="1" customWidth="1"/>
    <col min="10" max="10" width="12.23828125" bestFit="1" customWidth="1"/>
    <col min="11" max="11" width="10.76171875" bestFit="1" customWidth="1"/>
    <col min="12" max="12" width="13.71875" bestFit="1" customWidth="1"/>
    <col min="13" max="13" width="9.28125" customWidth="1"/>
    <col min="14" max="14" width="13.046875" customWidth="1"/>
    <col min="15" max="15" width="11.1640625" bestFit="1" customWidth="1"/>
    <col min="16" max="16" width="12.23828125" bestFit="1" customWidth="1"/>
    <col min="17" max="17" width="5.91796875" customWidth="1"/>
    <col min="18" max="18" width="12.23828125" bestFit="1" customWidth="1"/>
  </cols>
  <sheetData>
    <row r="1" spans="1:18" x14ac:dyDescent="0.2">
      <c r="A1" s="79" t="s">
        <v>0</v>
      </c>
      <c r="B1" s="80">
        <f>Master!B17</f>
        <v>2305</v>
      </c>
      <c r="C1" s="81" t="s">
        <v>38</v>
      </c>
      <c r="D1" s="80" t="str">
        <f>Master!J17</f>
        <v>P2-xxxx</v>
      </c>
      <c r="E1" s="81" t="s">
        <v>2</v>
      </c>
      <c r="F1" s="80">
        <f>Master!N17</f>
        <v>1102106455</v>
      </c>
      <c r="G1" s="81" t="s">
        <v>27</v>
      </c>
      <c r="H1" s="82">
        <f>Master!O17</f>
        <v>25</v>
      </c>
      <c r="I1" s="83"/>
      <c r="J1" s="83"/>
      <c r="K1" s="65"/>
      <c r="N1" s="79" t="s">
        <v>0</v>
      </c>
      <c r="O1" s="80">
        <f>Master!B17</f>
        <v>2305</v>
      </c>
      <c r="P1" s="81"/>
      <c r="Q1" s="81" t="s">
        <v>2</v>
      </c>
      <c r="R1" s="121">
        <f>Master!N17</f>
        <v>1102106455</v>
      </c>
    </row>
    <row r="2" spans="1:18" ht="15.75" thickBot="1" x14ac:dyDescent="0.25">
      <c r="A2" s="84" t="s">
        <v>28</v>
      </c>
      <c r="B2" s="85" t="str">
        <f>Master!C17</f>
        <v>Said</v>
      </c>
      <c r="C2" s="86" t="s">
        <v>34</v>
      </c>
      <c r="D2" s="85">
        <f>Master!I17</f>
        <v>66675044</v>
      </c>
      <c r="E2" s="86" t="s">
        <v>29</v>
      </c>
      <c r="F2" s="87">
        <f>Master!K17</f>
        <v>45884</v>
      </c>
      <c r="G2" s="86" t="s">
        <v>30</v>
      </c>
      <c r="H2" s="87">
        <f>Master!L17</f>
        <v>46248</v>
      </c>
      <c r="I2" s="88"/>
      <c r="J2" s="88"/>
      <c r="K2" s="89"/>
      <c r="N2" s="84" t="s">
        <v>28</v>
      </c>
      <c r="O2" s="85" t="str">
        <f>Master!C17</f>
        <v>Said</v>
      </c>
      <c r="P2" s="86"/>
      <c r="Q2" s="122" t="s">
        <v>27</v>
      </c>
      <c r="R2" s="128">
        <f>Master!O17</f>
        <v>25</v>
      </c>
    </row>
    <row r="3" spans="1:18" x14ac:dyDescent="0.2">
      <c r="A3" s="14" t="s">
        <v>31</v>
      </c>
      <c r="B3" s="14" t="s">
        <v>32</v>
      </c>
      <c r="C3" s="14" t="s">
        <v>2</v>
      </c>
      <c r="D3" s="14" t="s">
        <v>33</v>
      </c>
      <c r="E3" s="14" t="s">
        <v>3</v>
      </c>
      <c r="F3" s="14" t="s">
        <v>93</v>
      </c>
      <c r="G3" s="14" t="s">
        <v>98</v>
      </c>
      <c r="H3" s="14" t="s">
        <v>96</v>
      </c>
      <c r="I3" s="14" t="s">
        <v>97</v>
      </c>
      <c r="J3" s="14" t="s">
        <v>95</v>
      </c>
      <c r="K3" s="14" t="s">
        <v>103</v>
      </c>
      <c r="N3" s="170" t="s">
        <v>31</v>
      </c>
      <c r="O3" s="171" t="s">
        <v>2</v>
      </c>
      <c r="P3" s="171" t="s">
        <v>171</v>
      </c>
      <c r="Q3" s="171"/>
      <c r="R3" s="172" t="s">
        <v>95</v>
      </c>
    </row>
    <row r="4" spans="1:18" ht="15.75" thickBot="1" x14ac:dyDescent="0.25">
      <c r="A4" s="17" t="s">
        <v>94</v>
      </c>
      <c r="B4" s="18">
        <v>0</v>
      </c>
      <c r="C4" s="19" t="s">
        <v>101</v>
      </c>
      <c r="D4" s="20">
        <v>45291</v>
      </c>
      <c r="E4" s="17"/>
      <c r="F4" s="17"/>
      <c r="G4" s="17"/>
      <c r="H4" s="17"/>
      <c r="I4" s="17"/>
      <c r="J4" s="17"/>
      <c r="K4" s="17"/>
      <c r="N4" s="54">
        <v>45870</v>
      </c>
      <c r="O4" s="55">
        <v>11.79</v>
      </c>
      <c r="P4" s="56">
        <v>15.65</v>
      </c>
      <c r="Q4" s="56"/>
      <c r="R4" s="111">
        <f>O4+P4-$R$2</f>
        <v>2.4399999999999977</v>
      </c>
    </row>
    <row r="5" spans="1:18" x14ac:dyDescent="0.2">
      <c r="A5" s="62">
        <v>45658</v>
      </c>
      <c r="B5" s="66"/>
      <c r="C5" s="67"/>
      <c r="D5" s="67"/>
      <c r="E5" s="67"/>
      <c r="F5" s="67"/>
      <c r="G5" s="67"/>
      <c r="H5" s="67"/>
      <c r="I5" s="90"/>
      <c r="J5" s="67">
        <f>IF((C5+D5)&gt;$H$1,(C5+D5)-$H$1,0)</f>
        <v>0</v>
      </c>
      <c r="K5" s="68"/>
      <c r="N5" s="50">
        <v>45901</v>
      </c>
      <c r="O5" s="51">
        <v>18.91</v>
      </c>
      <c r="P5" s="52">
        <v>11.175000000000001</v>
      </c>
      <c r="Q5" s="52"/>
      <c r="R5" s="112">
        <f t="shared" ref="R5:R6" si="0">O5+P5-$R$2</f>
        <v>5.0850000000000009</v>
      </c>
    </row>
    <row r="6" spans="1:18" x14ac:dyDescent="0.2">
      <c r="A6" s="54">
        <v>45689</v>
      </c>
      <c r="B6" s="55"/>
      <c r="C6" s="56"/>
      <c r="D6" s="56"/>
      <c r="E6" s="56"/>
      <c r="F6" s="56"/>
      <c r="G6" s="56"/>
      <c r="H6" s="56"/>
      <c r="I6" s="56"/>
      <c r="J6" s="56">
        <f>IF((C6+D6)&gt;$H$1,(C6+D6)-$H$1,0)</f>
        <v>0</v>
      </c>
      <c r="K6" s="57"/>
      <c r="N6" s="54">
        <v>45931</v>
      </c>
      <c r="O6" s="55">
        <v>18.940000000000001</v>
      </c>
      <c r="P6" s="56">
        <v>8.0299999999999994</v>
      </c>
      <c r="Q6" s="56"/>
      <c r="R6" s="111">
        <f t="shared" si="0"/>
        <v>1.9699999999999989</v>
      </c>
    </row>
    <row r="7" spans="1:18" ht="15.75" thickBot="1" x14ac:dyDescent="0.25">
      <c r="A7" s="50">
        <v>45717</v>
      </c>
      <c r="B7" s="51"/>
      <c r="C7" s="52"/>
      <c r="D7" s="52"/>
      <c r="E7" s="52"/>
      <c r="F7" s="52"/>
      <c r="G7" s="52"/>
      <c r="H7" s="52"/>
      <c r="I7" s="52"/>
      <c r="J7" s="52">
        <f>IF((C7+D7)&gt;$H$1,(C7+D7)-$H$1,0)</f>
        <v>0</v>
      </c>
      <c r="K7" s="53"/>
      <c r="N7" s="173"/>
      <c r="O7" s="174"/>
      <c r="P7" s="175"/>
      <c r="Q7" s="175"/>
      <c r="R7" s="176">
        <f>SUM(R4:R6)</f>
        <v>9.4949999999999974</v>
      </c>
    </row>
    <row r="8" spans="1:18" x14ac:dyDescent="0.2">
      <c r="A8" s="54">
        <v>45748</v>
      </c>
      <c r="B8" s="55"/>
      <c r="C8" s="56"/>
      <c r="D8" s="56"/>
      <c r="E8" s="56"/>
      <c r="F8" s="56"/>
      <c r="G8" s="56"/>
      <c r="H8" s="56"/>
      <c r="I8" s="56"/>
      <c r="J8" s="56">
        <f>IF((C8+D8)&gt;$H$1,(C8+D8)-$H$1,0)</f>
        <v>0</v>
      </c>
      <c r="K8" s="57"/>
    </row>
    <row r="9" spans="1:18" x14ac:dyDescent="0.2">
      <c r="A9" s="50">
        <v>45778</v>
      </c>
      <c r="B9" s="51"/>
      <c r="C9" s="52"/>
      <c r="D9" s="52"/>
      <c r="E9" s="52"/>
      <c r="F9" s="52"/>
      <c r="G9" s="52"/>
      <c r="H9" s="52"/>
      <c r="I9" s="52"/>
      <c r="J9" s="52">
        <f>IF((C9+D9)&gt;$H$1,(C9+D9)-$H$1,0)</f>
        <v>0</v>
      </c>
      <c r="K9" s="53"/>
    </row>
    <row r="10" spans="1:18" x14ac:dyDescent="0.2">
      <c r="A10" s="54">
        <v>45809</v>
      </c>
      <c r="B10" s="55"/>
      <c r="C10" s="56"/>
      <c r="D10" s="56"/>
      <c r="E10" s="56"/>
      <c r="F10" s="56"/>
      <c r="G10" s="56"/>
      <c r="H10" s="56"/>
      <c r="I10" s="56"/>
      <c r="J10" s="56">
        <f>IF((C10+D10)&gt;$H$1,(C10+D10)-$H$1,0)</f>
        <v>0</v>
      </c>
      <c r="K10" s="57"/>
    </row>
    <row r="11" spans="1:18" x14ac:dyDescent="0.2">
      <c r="A11" s="50">
        <v>45839</v>
      </c>
      <c r="B11" s="51">
        <v>381</v>
      </c>
      <c r="C11" s="52">
        <v>0</v>
      </c>
      <c r="D11" s="52">
        <v>0</v>
      </c>
      <c r="E11" s="52">
        <v>0</v>
      </c>
      <c r="F11" s="52">
        <v>0</v>
      </c>
      <c r="G11" s="52"/>
      <c r="H11" s="52"/>
      <c r="I11" s="52" t="s">
        <v>153</v>
      </c>
      <c r="J11" s="52">
        <f>IF((C11+D11)&gt;$H$1,(C11+D11)-$H$1,0)</f>
        <v>0</v>
      </c>
      <c r="K11" s="53"/>
    </row>
    <row r="12" spans="1:18" x14ac:dyDescent="0.2">
      <c r="A12" s="54">
        <v>45870</v>
      </c>
      <c r="B12" s="55">
        <v>515</v>
      </c>
      <c r="C12" s="56">
        <v>11.79</v>
      </c>
      <c r="D12" s="56">
        <v>15.65</v>
      </c>
      <c r="E12" s="56">
        <v>0</v>
      </c>
      <c r="F12" s="56">
        <v>0</v>
      </c>
      <c r="G12" s="56"/>
      <c r="H12" s="56">
        <v>705.40800000000002</v>
      </c>
      <c r="I12" s="56" t="s">
        <v>121</v>
      </c>
      <c r="J12" s="56">
        <f>IF((C12+D12)&gt;$H$1,(C12+D12)-$H$1,0)</f>
        <v>2.4399999999999977</v>
      </c>
      <c r="K12" s="57"/>
    </row>
    <row r="13" spans="1:18" x14ac:dyDescent="0.2">
      <c r="A13" s="50">
        <v>45901</v>
      </c>
      <c r="B13" s="51">
        <v>515</v>
      </c>
      <c r="C13" s="52">
        <v>18.91</v>
      </c>
      <c r="D13" s="52">
        <v>11.175000000000001</v>
      </c>
      <c r="E13" s="52">
        <v>0</v>
      </c>
      <c r="F13" s="52">
        <v>0</v>
      </c>
      <c r="G13" s="52"/>
      <c r="H13" s="52"/>
      <c r="I13" s="52"/>
      <c r="J13" s="52">
        <f>IF((C13+D13)&gt;$H$1,(C13+D13)-$H$1,0)</f>
        <v>5.0850000000000009</v>
      </c>
      <c r="K13" s="53"/>
    </row>
    <row r="14" spans="1:18" x14ac:dyDescent="0.2">
      <c r="A14" s="54">
        <v>45931</v>
      </c>
      <c r="B14" s="55">
        <v>515</v>
      </c>
      <c r="C14" s="56">
        <v>18.940000000000001</v>
      </c>
      <c r="D14" s="56">
        <v>8.0299999999999994</v>
      </c>
      <c r="E14" s="56">
        <v>0</v>
      </c>
      <c r="F14" s="56">
        <v>0</v>
      </c>
      <c r="G14" s="56"/>
      <c r="H14" s="56"/>
      <c r="I14" s="56"/>
      <c r="J14" s="56">
        <f>IF((C14+D14)&gt;$H$1,(C14+D14)-$H$1,0)</f>
        <v>1.9699999999999989</v>
      </c>
      <c r="K14" s="57"/>
    </row>
    <row r="15" spans="1:18" x14ac:dyDescent="0.2">
      <c r="A15" s="50">
        <v>45962</v>
      </c>
      <c r="B15" s="51">
        <v>515</v>
      </c>
      <c r="C15" s="52">
        <v>18.510000000000002</v>
      </c>
      <c r="D15" s="52">
        <v>1.75</v>
      </c>
      <c r="E15" s="52">
        <v>0</v>
      </c>
      <c r="F15" s="52">
        <v>0</v>
      </c>
      <c r="G15" s="52"/>
      <c r="H15" s="52"/>
      <c r="I15" s="52"/>
      <c r="J15" s="52">
        <f>IF((C15+D15)&gt;$H$1,(C15+D15)-$H$1,0)</f>
        <v>0</v>
      </c>
      <c r="K15" s="53"/>
    </row>
    <row r="16" spans="1:18" ht="15.75" thickBot="1" x14ac:dyDescent="0.25">
      <c r="A16" s="58">
        <v>45992</v>
      </c>
      <c r="B16" s="59">
        <v>515</v>
      </c>
      <c r="C16" s="60">
        <v>13.61</v>
      </c>
      <c r="D16" s="60">
        <v>0</v>
      </c>
      <c r="E16" s="60">
        <v>0</v>
      </c>
      <c r="F16" s="60">
        <v>0</v>
      </c>
      <c r="G16" s="60"/>
      <c r="H16" s="60"/>
      <c r="I16" s="60"/>
      <c r="J16" s="60">
        <f>IF((C16+D16)&gt;$H$1,(C16+D16)-$H$1,0)</f>
        <v>0</v>
      </c>
      <c r="K16" s="61"/>
    </row>
    <row r="17" spans="1:12" x14ac:dyDescent="0.2">
      <c r="A17" s="50">
        <v>46023</v>
      </c>
      <c r="B17" s="69"/>
      <c r="C17" s="70"/>
      <c r="D17" s="70"/>
      <c r="E17" s="70"/>
      <c r="F17" s="70"/>
      <c r="G17" s="70"/>
      <c r="H17" s="70"/>
      <c r="I17" s="70"/>
      <c r="J17" s="70">
        <f>IF((C17+D17)&gt;$H$1,(C17+D17)-$H$1,0)</f>
        <v>0</v>
      </c>
      <c r="K17" s="71"/>
      <c r="L17" s="3">
        <f>SUM(B5:B16)-SUM(C5:C16)-SUM(D5:D16)-SUM(E5:E16)-SUM(F5:F16)-SUM(G5:G16)-SUM(H5:H16)+SUM(J5:J16)</f>
        <v>2141.7219999999998</v>
      </c>
    </row>
    <row r="18" spans="1:12" x14ac:dyDescent="0.2">
      <c r="A18" s="54">
        <v>46054</v>
      </c>
      <c r="B18" s="55"/>
      <c r="C18" s="56"/>
      <c r="D18" s="56"/>
      <c r="E18" s="56"/>
      <c r="F18" s="56"/>
      <c r="G18" s="56"/>
      <c r="H18" s="56"/>
      <c r="I18" s="56"/>
      <c r="J18" s="56">
        <f>IF((C18+D18)&gt;$H$1,(C18+D18)-$H$1,0)</f>
        <v>0</v>
      </c>
      <c r="K18" s="57"/>
    </row>
    <row r="19" spans="1:12" x14ac:dyDescent="0.2">
      <c r="A19" s="50">
        <v>46082</v>
      </c>
      <c r="B19" s="51"/>
      <c r="C19" s="52"/>
      <c r="D19" s="52"/>
      <c r="E19" s="52"/>
      <c r="F19" s="52"/>
      <c r="G19" s="52"/>
      <c r="H19" s="52"/>
      <c r="I19" s="52"/>
      <c r="J19" s="52">
        <f>IF((C19+D19)&gt;$H$1,(C19+D19)-$H$1,0)</f>
        <v>0</v>
      </c>
      <c r="K19" s="53"/>
    </row>
    <row r="20" spans="1:12" x14ac:dyDescent="0.2">
      <c r="A20" s="54">
        <v>46113</v>
      </c>
      <c r="B20" s="55"/>
      <c r="C20" s="56"/>
      <c r="D20" s="56"/>
      <c r="E20" s="56"/>
      <c r="F20" s="56"/>
      <c r="G20" s="56"/>
      <c r="H20" s="56"/>
      <c r="I20" s="56"/>
      <c r="J20" s="56">
        <f>IF((C20+D20)&gt;$H$1,(C20+D20)-$H$1,0)</f>
        <v>0</v>
      </c>
      <c r="K20" s="57"/>
    </row>
    <row r="21" spans="1:12" x14ac:dyDescent="0.2">
      <c r="A21" s="50">
        <v>46143</v>
      </c>
      <c r="B21" s="51"/>
      <c r="C21" s="52"/>
      <c r="D21" s="52"/>
      <c r="E21" s="52"/>
      <c r="F21" s="52"/>
      <c r="G21" s="52"/>
      <c r="H21" s="52"/>
      <c r="I21" s="52"/>
      <c r="J21" s="52">
        <f>IF((C21+D21)&gt;$H$1,(C21+D21)-$H$1,0)</f>
        <v>0</v>
      </c>
      <c r="K21" s="53"/>
    </row>
    <row r="22" spans="1:12" x14ac:dyDescent="0.2">
      <c r="A22" s="54">
        <v>46174</v>
      </c>
      <c r="B22" s="55"/>
      <c r="C22" s="56"/>
      <c r="D22" s="56"/>
      <c r="E22" s="56"/>
      <c r="F22" s="56"/>
      <c r="G22" s="56"/>
      <c r="H22" s="56"/>
      <c r="I22" s="56"/>
      <c r="J22" s="56">
        <f>IF((C22+D22)&gt;$H$1,(C22+D22)-$H$1,0)</f>
        <v>0</v>
      </c>
      <c r="K22" s="57"/>
    </row>
    <row r="23" spans="1:12" x14ac:dyDescent="0.2">
      <c r="A23" s="50">
        <v>46204</v>
      </c>
      <c r="B23" s="51"/>
      <c r="C23" s="52"/>
      <c r="D23" s="52"/>
      <c r="E23" s="52"/>
      <c r="F23" s="52"/>
      <c r="G23" s="52"/>
      <c r="H23" s="52"/>
      <c r="I23" s="52"/>
      <c r="J23" s="52">
        <f>IF((C23+D23)&gt;$H$1,(C23+D23)-$H$1,0)</f>
        <v>0</v>
      </c>
      <c r="K23" s="53"/>
    </row>
    <row r="24" spans="1:12" x14ac:dyDescent="0.2">
      <c r="A24" s="54">
        <v>46235</v>
      </c>
      <c r="B24" s="55"/>
      <c r="C24" s="56"/>
      <c r="D24" s="56"/>
      <c r="E24" s="56"/>
      <c r="F24" s="56"/>
      <c r="G24" s="56"/>
      <c r="H24" s="56"/>
      <c r="I24" s="56"/>
      <c r="J24" s="56">
        <f>IF((C24+D24)&gt;$H$1,(C24+D24)-$H$1,0)</f>
        <v>0</v>
      </c>
      <c r="K24" s="57"/>
    </row>
    <row r="25" spans="1:12" x14ac:dyDescent="0.2">
      <c r="A25" s="50">
        <v>46266</v>
      </c>
      <c r="B25" s="51"/>
      <c r="C25" s="52"/>
      <c r="D25" s="52"/>
      <c r="E25" s="52"/>
      <c r="F25" s="52"/>
      <c r="G25" s="52"/>
      <c r="H25" s="52"/>
      <c r="I25" s="52"/>
      <c r="J25" s="52">
        <f>IF((C25+D25)&gt;$H$1,(C25+D25)-$H$1,0)</f>
        <v>0</v>
      </c>
      <c r="K25" s="53"/>
    </row>
    <row r="26" spans="1:12" x14ac:dyDescent="0.2">
      <c r="A26" s="54">
        <v>46296</v>
      </c>
      <c r="B26" s="55"/>
      <c r="C26" s="56"/>
      <c r="D26" s="56"/>
      <c r="E26" s="56"/>
      <c r="F26" s="56"/>
      <c r="G26" s="56"/>
      <c r="H26" s="56"/>
      <c r="I26" s="56"/>
      <c r="J26" s="56">
        <f>IF((C26+D26)&gt;$H$1,(C26+D26)-$H$1,0)</f>
        <v>0</v>
      </c>
      <c r="K26" s="57"/>
    </row>
    <row r="27" spans="1:12" x14ac:dyDescent="0.2">
      <c r="A27" s="50">
        <v>46327</v>
      </c>
      <c r="B27" s="51"/>
      <c r="C27" s="52"/>
      <c r="D27" s="52"/>
      <c r="E27" s="52"/>
      <c r="F27" s="52"/>
      <c r="G27" s="52"/>
      <c r="H27" s="52"/>
      <c r="I27" s="52"/>
      <c r="J27" s="52">
        <f>IF((C27+D27)&gt;$H$1,(C27+D27)-$H$1,0)</f>
        <v>0</v>
      </c>
      <c r="K27" s="53"/>
    </row>
    <row r="28" spans="1:12" ht="15.75" thickBot="1" x14ac:dyDescent="0.25">
      <c r="A28" s="58">
        <v>46357</v>
      </c>
      <c r="B28" s="59"/>
      <c r="C28" s="60"/>
      <c r="D28" s="60"/>
      <c r="E28" s="60"/>
      <c r="F28" s="60"/>
      <c r="G28" s="60"/>
      <c r="H28" s="60"/>
      <c r="I28" s="60"/>
      <c r="J28" s="60">
        <f>IF((C28+D28)&gt;$H$1,(C28+D28)-$H$1,0)</f>
        <v>0</v>
      </c>
      <c r="K28" s="61"/>
    </row>
    <row r="29" spans="1:12" x14ac:dyDescent="0.2">
      <c r="A29" s="2"/>
      <c r="B29" s="3">
        <f>SUM(B17:B28)</f>
        <v>0</v>
      </c>
      <c r="C29" s="5">
        <f t="shared" ref="C29" si="1">SUM(C17:C28)</f>
        <v>0</v>
      </c>
      <c r="D29" s="5">
        <f>SUM(D17:D28)</f>
        <v>0</v>
      </c>
      <c r="E29" s="5">
        <f t="shared" ref="E29:H29" si="2">SUM(E17:E28)</f>
        <v>0</v>
      </c>
      <c r="F29" s="5">
        <f t="shared" si="2"/>
        <v>0</v>
      </c>
      <c r="G29" s="5">
        <f t="shared" si="2"/>
        <v>0</v>
      </c>
      <c r="H29" s="5">
        <f t="shared" si="2"/>
        <v>0</v>
      </c>
      <c r="I29" s="5"/>
      <c r="J29" s="5">
        <f t="shared" ref="J29" si="3">SUM(J17:J28)</f>
        <v>0</v>
      </c>
      <c r="K29" s="5"/>
      <c r="L29" s="3">
        <f>SUM(B17:B28)-SUM(C17:C28)-SUM(D17:D28)-SUM(E17:E28)-SUM(F17:F28)-SUM(G17:G28)-SUM(H17:H28)+SUM(J17:J28)</f>
        <v>0</v>
      </c>
    </row>
    <row r="30" spans="1:12" x14ac:dyDescent="0.2">
      <c r="A30" s="2" t="s">
        <v>5</v>
      </c>
      <c r="B30" s="3">
        <f>B29-C29-D29-E29-F29-G29-H29+J29</f>
        <v>0</v>
      </c>
      <c r="C30" s="3"/>
      <c r="D30" s="3"/>
      <c r="E30" s="3"/>
      <c r="F30" s="3"/>
      <c r="G30" s="3"/>
      <c r="H30" s="3"/>
      <c r="I30" s="3"/>
      <c r="J30" s="3"/>
      <c r="K30" s="3"/>
    </row>
    <row r="31" spans="1:12" x14ac:dyDescent="0.2">
      <c r="A31" s="2" t="s">
        <v>15</v>
      </c>
      <c r="B31" s="4">
        <f>B30/65000</f>
        <v>0</v>
      </c>
      <c r="C31" s="2"/>
      <c r="D31" s="2"/>
      <c r="E31" s="2"/>
      <c r="F31" s="2"/>
      <c r="G31" s="2"/>
      <c r="H31" s="2"/>
      <c r="I31" s="2"/>
      <c r="J31" s="2"/>
      <c r="K31" s="2"/>
    </row>
    <row r="32" spans="1:12" x14ac:dyDescent="0.2">
      <c r="A32" s="17" t="s">
        <v>94</v>
      </c>
      <c r="B32" s="18"/>
      <c r="C32" s="19" t="s">
        <v>101</v>
      </c>
      <c r="D32" s="20">
        <f ca="1">TODAY()</f>
        <v>46029</v>
      </c>
      <c r="E32" s="17"/>
      <c r="F32" s="17"/>
      <c r="G32" s="17"/>
      <c r="H32" s="17"/>
      <c r="I32" s="17"/>
      <c r="J32" s="17"/>
      <c r="K32" s="1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3EDB-558C-3940-B2C6-415E1A2D1110}">
  <dimension ref="A1:L23"/>
  <sheetViews>
    <sheetView topLeftCell="F1" zoomScaleNormal="150" zoomScaleSheetLayoutView="100" workbookViewId="0">
      <selection activeCell="J33" sqref="J33"/>
    </sheetView>
  </sheetViews>
  <sheetFormatPr defaultRowHeight="15" x14ac:dyDescent="0.2"/>
  <cols>
    <col min="1" max="1" width="7.6640625" bestFit="1" customWidth="1"/>
    <col min="2" max="2" width="13.71875" bestFit="1" customWidth="1"/>
    <col min="3" max="3" width="13.1796875" bestFit="1" customWidth="1"/>
    <col min="4" max="4" width="12.23828125" bestFit="1" customWidth="1"/>
    <col min="5" max="5" width="13.1796875" bestFit="1" customWidth="1"/>
    <col min="6" max="6" width="13.71875" bestFit="1" customWidth="1"/>
    <col min="7" max="8" width="13.1796875" bestFit="1" customWidth="1"/>
    <col min="9" max="9" width="18.83203125" bestFit="1" customWidth="1"/>
    <col min="10" max="10" width="12.23828125" bestFit="1" customWidth="1"/>
    <col min="11" max="11" width="10.76171875" bestFit="1" customWidth="1"/>
    <col min="12" max="12" width="13.71875" bestFit="1" customWidth="1"/>
  </cols>
  <sheetData>
    <row r="1" spans="1:12" x14ac:dyDescent="0.2">
      <c r="A1" s="79" t="s">
        <v>0</v>
      </c>
      <c r="B1" s="80">
        <f>Master!B18</f>
        <v>3504</v>
      </c>
      <c r="C1" s="81" t="s">
        <v>38</v>
      </c>
      <c r="D1" s="80" t="str">
        <f>Master!J18</f>
        <v>P1-90</v>
      </c>
      <c r="E1" s="81" t="s">
        <v>2</v>
      </c>
      <c r="F1" s="80">
        <f>Master!N18</f>
        <v>1100362969</v>
      </c>
      <c r="G1" s="81" t="s">
        <v>27</v>
      </c>
      <c r="H1" s="82">
        <f>Master!O18</f>
        <v>0</v>
      </c>
      <c r="I1" s="83"/>
      <c r="J1" s="83"/>
      <c r="K1" s="65"/>
    </row>
    <row r="2" spans="1:12" ht="15.75" thickBot="1" x14ac:dyDescent="0.25">
      <c r="A2" s="105" t="s">
        <v>28</v>
      </c>
      <c r="B2" s="106">
        <f>Master!C18</f>
        <v>0</v>
      </c>
      <c r="C2" s="107" t="s">
        <v>34</v>
      </c>
      <c r="D2" s="106">
        <f>Master!I18</f>
        <v>0</v>
      </c>
      <c r="E2" s="107" t="s">
        <v>29</v>
      </c>
      <c r="F2" s="108">
        <f>Master!K18</f>
        <v>0</v>
      </c>
      <c r="G2" s="107" t="s">
        <v>30</v>
      </c>
      <c r="H2" s="108">
        <f>Master!L18</f>
        <v>0</v>
      </c>
      <c r="I2" s="109"/>
      <c r="J2" s="109"/>
      <c r="K2" s="53"/>
    </row>
    <row r="3" spans="1:12" x14ac:dyDescent="0.2">
      <c r="A3" s="159" t="s">
        <v>31</v>
      </c>
      <c r="B3" s="160" t="s">
        <v>32</v>
      </c>
      <c r="C3" s="160" t="s">
        <v>2</v>
      </c>
      <c r="D3" s="160" t="s">
        <v>33</v>
      </c>
      <c r="E3" s="160" t="s">
        <v>3</v>
      </c>
      <c r="F3" s="160" t="s">
        <v>93</v>
      </c>
      <c r="G3" s="160" t="s">
        <v>98</v>
      </c>
      <c r="H3" s="160" t="s">
        <v>96</v>
      </c>
      <c r="I3" s="160" t="s">
        <v>97</v>
      </c>
      <c r="J3" s="160" t="s">
        <v>95</v>
      </c>
      <c r="K3" s="161" t="s">
        <v>103</v>
      </c>
    </row>
    <row r="4" spans="1:12" x14ac:dyDescent="0.2">
      <c r="A4" s="162" t="s">
        <v>94</v>
      </c>
      <c r="B4" s="163">
        <v>0</v>
      </c>
      <c r="C4" s="164" t="s">
        <v>101</v>
      </c>
      <c r="D4" s="165">
        <v>45657</v>
      </c>
      <c r="E4" s="157"/>
      <c r="F4" s="157"/>
      <c r="G4" s="157"/>
      <c r="H4" s="157"/>
      <c r="I4" s="157"/>
      <c r="J4" s="157"/>
      <c r="K4" s="158"/>
    </row>
    <row r="5" spans="1:12" x14ac:dyDescent="0.2">
      <c r="A5" s="54">
        <v>45931</v>
      </c>
      <c r="B5" s="55"/>
      <c r="C5" s="56">
        <v>6.7</v>
      </c>
      <c r="D5" s="56">
        <v>6.875</v>
      </c>
      <c r="E5" s="56"/>
      <c r="F5" s="56"/>
      <c r="G5" s="56"/>
      <c r="H5" s="56"/>
      <c r="I5" s="56"/>
      <c r="J5" s="56">
        <f>IF((C5+D5)&gt;$H$1,(C5+D5)-$H$1,0)</f>
        <v>13.574999999999999</v>
      </c>
      <c r="K5" s="57"/>
    </row>
    <row r="6" spans="1:12" x14ac:dyDescent="0.2">
      <c r="A6" s="50">
        <v>45962</v>
      </c>
      <c r="B6" s="51"/>
      <c r="C6" s="52">
        <v>5.57</v>
      </c>
      <c r="D6" s="52">
        <v>0</v>
      </c>
      <c r="E6" s="52"/>
      <c r="F6" s="52"/>
      <c r="G6" s="52"/>
      <c r="H6" s="52"/>
      <c r="I6" s="52"/>
      <c r="J6" s="52">
        <f>IF((C6+D6)&gt;$H$1,(C6+D6)-$H$1,0)</f>
        <v>5.57</v>
      </c>
      <c r="K6" s="53"/>
    </row>
    <row r="7" spans="1:12" ht="15.75" thickBot="1" x14ac:dyDescent="0.25">
      <c r="A7" s="58">
        <v>45992</v>
      </c>
      <c r="B7" s="59"/>
      <c r="C7" s="60">
        <v>4.87</v>
      </c>
      <c r="D7" s="60">
        <v>0</v>
      </c>
      <c r="E7" s="60"/>
      <c r="F7" s="60"/>
      <c r="G7" s="60"/>
      <c r="H7" s="60"/>
      <c r="I7" s="60"/>
      <c r="J7" s="60">
        <f>IF((C7+D7)&gt;$H$1,(C7+D7)-$H$1,0)</f>
        <v>4.87</v>
      </c>
      <c r="K7" s="61"/>
    </row>
    <row r="8" spans="1:12" x14ac:dyDescent="0.2">
      <c r="A8" s="50">
        <v>46023</v>
      </c>
      <c r="B8" s="69"/>
      <c r="C8" s="70"/>
      <c r="D8" s="70"/>
      <c r="E8" s="70"/>
      <c r="F8" s="70"/>
      <c r="G8" s="70"/>
      <c r="H8" s="70"/>
      <c r="I8" s="70"/>
      <c r="J8" s="70">
        <f>IF((C8+D8)&gt;$H$1,(C8+D8)-$H$1,0)</f>
        <v>0</v>
      </c>
      <c r="K8" s="71"/>
      <c r="L8" s="3">
        <f>SUM(B5:B7)-SUM(C5:C7)-SUM(D5:D7)-SUM(E5:E7)-SUM(F5:F7)-SUM(G5:G7)-SUM(H5:H7)+SUM(J5:J7)</f>
        <v>0</v>
      </c>
    </row>
    <row r="9" spans="1:12" x14ac:dyDescent="0.2">
      <c r="A9" s="54">
        <v>46054</v>
      </c>
      <c r="B9" s="55"/>
      <c r="C9" s="56"/>
      <c r="D9" s="56"/>
      <c r="E9" s="56"/>
      <c r="F9" s="56"/>
      <c r="G9" s="56"/>
      <c r="H9" s="56"/>
      <c r="I9" s="56"/>
      <c r="J9" s="56">
        <f>IF((C9+D9)&gt;$H$1,(C9+D9)-$H$1,0)</f>
        <v>0</v>
      </c>
      <c r="K9" s="57"/>
    </row>
    <row r="10" spans="1:12" x14ac:dyDescent="0.2">
      <c r="A10" s="50">
        <v>46082</v>
      </c>
      <c r="B10" s="51"/>
      <c r="C10" s="52"/>
      <c r="D10" s="52"/>
      <c r="E10" s="52"/>
      <c r="F10" s="52"/>
      <c r="G10" s="52"/>
      <c r="H10" s="52"/>
      <c r="I10" s="52"/>
      <c r="J10" s="52">
        <f>IF((C10+D10)&gt;$H$1,(C10+D10)-$H$1,0)</f>
        <v>0</v>
      </c>
      <c r="K10" s="53"/>
    </row>
    <row r="11" spans="1:12" x14ac:dyDescent="0.2">
      <c r="A11" s="54">
        <v>46113</v>
      </c>
      <c r="B11" s="55"/>
      <c r="C11" s="56"/>
      <c r="D11" s="56"/>
      <c r="E11" s="56"/>
      <c r="F11" s="56"/>
      <c r="G11" s="56"/>
      <c r="H11" s="56"/>
      <c r="I11" s="56"/>
      <c r="J11" s="56">
        <f>IF((C11+D11)&gt;$H$1,(C11+D11)-$H$1,0)</f>
        <v>0</v>
      </c>
      <c r="K11" s="57"/>
    </row>
    <row r="12" spans="1:12" x14ac:dyDescent="0.2">
      <c r="A12" s="50">
        <v>46143</v>
      </c>
      <c r="B12" s="51"/>
      <c r="C12" s="52"/>
      <c r="D12" s="52"/>
      <c r="E12" s="52"/>
      <c r="F12" s="52"/>
      <c r="G12" s="52"/>
      <c r="H12" s="52"/>
      <c r="I12" s="52"/>
      <c r="J12" s="52">
        <f>IF((C12+D12)&gt;$H$1,(C12+D12)-$H$1,0)</f>
        <v>0</v>
      </c>
      <c r="K12" s="53"/>
    </row>
    <row r="13" spans="1:12" x14ac:dyDescent="0.2">
      <c r="A13" s="54">
        <v>46174</v>
      </c>
      <c r="B13" s="55"/>
      <c r="C13" s="56"/>
      <c r="D13" s="56"/>
      <c r="E13" s="56"/>
      <c r="F13" s="56"/>
      <c r="G13" s="56"/>
      <c r="H13" s="56"/>
      <c r="I13" s="56"/>
      <c r="J13" s="56">
        <f>IF((C13+D13)&gt;$H$1,(C13+D13)-$H$1,0)</f>
        <v>0</v>
      </c>
      <c r="K13" s="57"/>
    </row>
    <row r="14" spans="1:12" x14ac:dyDescent="0.2">
      <c r="A14" s="50">
        <v>46204</v>
      </c>
      <c r="B14" s="51"/>
      <c r="C14" s="52"/>
      <c r="D14" s="52"/>
      <c r="E14" s="52"/>
      <c r="F14" s="52"/>
      <c r="G14" s="52"/>
      <c r="H14" s="52"/>
      <c r="I14" s="52"/>
      <c r="J14" s="52">
        <f>IF((C14+D14)&gt;$H$1,(C14+D14)-$H$1,0)</f>
        <v>0</v>
      </c>
      <c r="K14" s="53"/>
    </row>
    <row r="15" spans="1:12" x14ac:dyDescent="0.2">
      <c r="A15" s="54">
        <v>46235</v>
      </c>
      <c r="B15" s="55"/>
      <c r="C15" s="56"/>
      <c r="D15" s="56"/>
      <c r="E15" s="56"/>
      <c r="F15" s="56"/>
      <c r="G15" s="56"/>
      <c r="H15" s="56"/>
      <c r="I15" s="56"/>
      <c r="J15" s="56">
        <f>IF((C15+D15)&gt;$H$1,(C15+D15)-$H$1,0)</f>
        <v>0</v>
      </c>
      <c r="K15" s="57"/>
    </row>
    <row r="16" spans="1:12" x14ac:dyDescent="0.2">
      <c r="A16" s="50">
        <v>46266</v>
      </c>
      <c r="B16" s="51"/>
      <c r="C16" s="52"/>
      <c r="D16" s="52"/>
      <c r="E16" s="52"/>
      <c r="F16" s="52"/>
      <c r="G16" s="52"/>
      <c r="H16" s="52"/>
      <c r="I16" s="52"/>
      <c r="J16" s="52">
        <f>IF((C16+D16)&gt;$H$1,(C16+D16)-$H$1,0)</f>
        <v>0</v>
      </c>
      <c r="K16" s="53"/>
    </row>
    <row r="17" spans="1:12" x14ac:dyDescent="0.2">
      <c r="A17" s="54">
        <v>46296</v>
      </c>
      <c r="B17" s="55"/>
      <c r="C17" s="56"/>
      <c r="D17" s="56"/>
      <c r="E17" s="56"/>
      <c r="F17" s="56"/>
      <c r="G17" s="56"/>
      <c r="H17" s="56"/>
      <c r="I17" s="56"/>
      <c r="J17" s="56">
        <f>IF((C17+D17)&gt;$H$1,(C17+D17)-$H$1,0)</f>
        <v>0</v>
      </c>
      <c r="K17" s="57"/>
    </row>
    <row r="18" spans="1:12" x14ac:dyDescent="0.2">
      <c r="A18" s="50">
        <v>46327</v>
      </c>
      <c r="B18" s="51"/>
      <c r="C18" s="52"/>
      <c r="D18" s="52"/>
      <c r="E18" s="52"/>
      <c r="F18" s="52"/>
      <c r="G18" s="52"/>
      <c r="H18" s="52"/>
      <c r="I18" s="52"/>
      <c r="J18" s="52">
        <f>IF((C18+D18)&gt;$H$1,(C18+D18)-$H$1,0)</f>
        <v>0</v>
      </c>
      <c r="K18" s="53"/>
    </row>
    <row r="19" spans="1:12" ht="15.75" thickBot="1" x14ac:dyDescent="0.25">
      <c r="A19" s="58">
        <v>46357</v>
      </c>
      <c r="B19" s="59"/>
      <c r="C19" s="60"/>
      <c r="D19" s="60"/>
      <c r="E19" s="60"/>
      <c r="F19" s="60"/>
      <c r="G19" s="60"/>
      <c r="H19" s="60"/>
      <c r="I19" s="60"/>
      <c r="J19" s="60">
        <f>IF((C19+D19)&gt;$H$1,(C19+D19)-$H$1,0)</f>
        <v>0</v>
      </c>
      <c r="K19" s="61"/>
    </row>
    <row r="20" spans="1:12" x14ac:dyDescent="0.2">
      <c r="A20" s="2"/>
      <c r="B20" s="3">
        <f>SUM(B8:B19)</f>
        <v>0</v>
      </c>
      <c r="C20" s="5">
        <f t="shared" ref="C20" si="0">SUM(C8:C19)</f>
        <v>0</v>
      </c>
      <c r="D20" s="5">
        <f>SUM(D8:D19)</f>
        <v>0</v>
      </c>
      <c r="E20" s="5">
        <f t="shared" ref="E20:H20" si="1">SUM(E8:E19)</f>
        <v>0</v>
      </c>
      <c r="F20" s="5">
        <f t="shared" si="1"/>
        <v>0</v>
      </c>
      <c r="G20" s="5">
        <f t="shared" si="1"/>
        <v>0</v>
      </c>
      <c r="H20" s="5">
        <f t="shared" si="1"/>
        <v>0</v>
      </c>
      <c r="I20" s="5"/>
      <c r="J20" s="5">
        <f t="shared" ref="J20" si="2">SUM(J8:J19)</f>
        <v>0</v>
      </c>
      <c r="K20" s="5"/>
      <c r="L20" s="3">
        <f>SUM(B8:B19)-SUM(C8:C19)-SUM(D8:D19)-SUM(E8:E19)-SUM(F8:F19)-SUM(G8:G19)-SUM(H8:H19)+SUM(J8:J19)</f>
        <v>0</v>
      </c>
    </row>
    <row r="21" spans="1:12" x14ac:dyDescent="0.2">
      <c r="A21" s="2" t="s">
        <v>5</v>
      </c>
      <c r="B21" s="3">
        <f>B20-C20-D20-E20-F20-G20-H20+J20</f>
        <v>0</v>
      </c>
      <c r="C21" s="3"/>
      <c r="D21" s="3"/>
      <c r="E21" s="3"/>
      <c r="F21" s="3"/>
      <c r="G21" s="3"/>
      <c r="H21" s="3"/>
      <c r="I21" s="3"/>
      <c r="J21" s="3"/>
      <c r="K21" s="3"/>
    </row>
    <row r="22" spans="1:12" x14ac:dyDescent="0.2">
      <c r="A22" s="2" t="s">
        <v>15</v>
      </c>
      <c r="B22" s="4">
        <f>B21/65000</f>
        <v>0</v>
      </c>
      <c r="C22" s="2"/>
      <c r="D22" s="2"/>
      <c r="E22" s="2"/>
      <c r="F22" s="2"/>
      <c r="G22" s="2"/>
      <c r="H22" s="2"/>
      <c r="I22" s="2"/>
      <c r="J22" s="2"/>
      <c r="K22" s="2"/>
    </row>
    <row r="23" spans="1:12" x14ac:dyDescent="0.2">
      <c r="A23" s="17" t="s">
        <v>94</v>
      </c>
      <c r="B23" s="18"/>
      <c r="C23" s="19" t="s">
        <v>101</v>
      </c>
      <c r="D23" s="20">
        <f ca="1">TODAY()</f>
        <v>46029</v>
      </c>
      <c r="E23" s="17"/>
      <c r="F23" s="17"/>
      <c r="G23" s="17"/>
      <c r="H23" s="17"/>
      <c r="I23" s="17"/>
      <c r="J23" s="17"/>
      <c r="K2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Master</vt:lpstr>
      <vt:lpstr>1307A</vt:lpstr>
      <vt:lpstr>1407A</vt:lpstr>
      <vt:lpstr>1306B</vt:lpstr>
      <vt:lpstr>1509B</vt:lpstr>
      <vt:lpstr>2206B</vt:lpstr>
      <vt:lpstr>2306B</vt:lpstr>
      <vt:lpstr>2706B </vt:lpstr>
      <vt:lpstr>1206</vt:lpstr>
      <vt:lpstr>1306 old</vt:lpstr>
      <vt:lpstr>1306</vt:lpstr>
      <vt:lpstr>1405</vt:lpstr>
      <vt:lpstr>1706</vt:lpstr>
      <vt:lpstr>1805</vt:lpstr>
      <vt:lpstr>2105</vt:lpstr>
      <vt:lpstr>2106</vt:lpstr>
      <vt:lpstr>2305</vt:lpstr>
      <vt:lpstr>3504</vt:lpstr>
      <vt:lpstr>2106!Print_Area</vt:lpstr>
      <vt:lpstr>2206B!Print_Area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Larbi Zeghlache, Mohamed</dc:creator>
  <cp:lastModifiedBy>Larbi Zeghlache, Mohamed</cp:lastModifiedBy>
  <dcterms:created xsi:type="dcterms:W3CDTF">2023-06-19T06:50:25Z</dcterms:created>
  <dcterms:modified xsi:type="dcterms:W3CDTF">2024-07-28T11:55:31Z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2541eb-7d60-4d7e-9994-a4817acf050d_Enabled">
    <vt:lpwstr>True</vt:lpwstr>
  </property>
  <property fmtid="{D5CDD505-2E9C-101B-9397-08002B2CF9AE}" pid="3" name="MSIP_Label_f82541eb-7d60-4d7e-9994-a4817acf050d_SiteId">
    <vt:lpwstr>5a1e0c10-68b1-4667-974b-f394ba989c51</vt:lpwstr>
  </property>
  <property fmtid="{D5CDD505-2E9C-101B-9397-08002B2CF9AE}" pid="4" name="MSIP_Label_f82541eb-7d60-4d7e-9994-a4817acf050d_Owner">
    <vt:lpwstr>larbizmx@aramco.com</vt:lpwstr>
  </property>
  <property fmtid="{D5CDD505-2E9C-101B-9397-08002B2CF9AE}" pid="5" name="MSIP_Label_f82541eb-7d60-4d7e-9994-a4817acf050d_SetDate">
    <vt:lpwstr>2024-07-28T11:54:44.4117167Z</vt:lpwstr>
  </property>
  <property fmtid="{D5CDD505-2E9C-101B-9397-08002B2CF9AE}" pid="6" name="MSIP_Label_f82541eb-7d60-4d7e-9994-a4817acf050d_Name">
    <vt:lpwstr>Non-Business Use</vt:lpwstr>
  </property>
  <property fmtid="{D5CDD505-2E9C-101B-9397-08002B2CF9AE}" pid="7" name="MSIP_Label_f82541eb-7d60-4d7e-9994-a4817acf050d_Application">
    <vt:lpwstr>Microsoft Azure Information Protection</vt:lpwstr>
  </property>
  <property fmtid="{D5CDD505-2E9C-101B-9397-08002B2CF9AE}" pid="8" name="MSIP_Label_f82541eb-7d60-4d7e-9994-a4817acf050d_ActionId">
    <vt:lpwstr>e5f80231-6862-43dc-891e-0bd565c426f4</vt:lpwstr>
  </property>
  <property fmtid="{D5CDD505-2E9C-101B-9397-08002B2CF9AE}" pid="9" name="MSIP_Label_f82541eb-7d60-4d7e-9994-a4817acf050d_Extended_MSFT_Method">
    <vt:lpwstr>Manual</vt:lpwstr>
  </property>
  <property fmtid="{D5CDD505-2E9C-101B-9397-08002B2CF9AE}" pid="10" name="Sensitivity">
    <vt:lpwstr>Non-Business Use</vt:lpwstr>
  </property>
</Properties>
</file>